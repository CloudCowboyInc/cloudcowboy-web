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cloudcowboy/Library/CloudStorage/GoogleDrive-chris@cloudcowboy.us/My Drive/A1. Claude Cowboy/Cloud Cowboy/"/>
    </mc:Choice>
  </mc:AlternateContent>
  <xr:revisionPtr revIDLastSave="0" documentId="13_ncr:1_{9CB5E789-DD48-814D-91D8-1A467B37A0DE}" xr6:coauthVersionLast="47" xr6:coauthVersionMax="47" xr10:uidLastSave="{00000000-0000-0000-0000-000000000000}"/>
  <bookViews>
    <workbookView xWindow="38020" yWindow="-7160" windowWidth="27900" windowHeight="19000" activeTab="0" xr2:uid="{00000000-000D-0000-FFFF-FFFF00000000}"/>
  </bookViews>
  <sheets>
    <sheet name="Proforma" sheetId="1" r:id="rId1"/>
    <sheet name="Monthly Cash Flow" sheetId="2" r:id="rId2"/>
    <sheet name="Events" sheetId="3" r:id="rId3"/>
    <sheet name="Orgs &amp; Boards" sheetId="4" r:id="rId4"/>
    <sheet name="Capital Summary" sheetId="5" r:id="rId5"/>
    <sheet name="Seasonality" sheetId="6" r:id="rId6"/>
    <sheet name="Story &amp; Note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<sst xmlns="http://schemas.openxmlformats.org/spreadsheetml/2006/main" count="605" uniqueCount="451">
  <si>
    <t>Cloud Cowboy — 5-Year Proforma (Base Case)</t>
  </si>
  <si>
    <t>US-only · Operating-system model · 100% ACH capture · marketing grounded in AG-Involvement plan · benefits Jan-2028. Blue = adjustable input.</t>
  </si>
  <si>
    <t>Year 0</t>
  </si>
  <si>
    <t>Year 1</t>
  </si>
  <si>
    <t>Year 2</t>
  </si>
  <si>
    <t>Year 3</t>
  </si>
  <si>
    <t>Year 4</t>
  </si>
  <si>
    <t>Year 5</t>
  </si>
  <si>
    <t>2026</t>
  </si>
  <si>
    <t>2027</t>
  </si>
  <si>
    <t>2028</t>
  </si>
  <si>
    <t>2029</t>
  </si>
  <si>
    <t>2030</t>
  </si>
  <si>
    <t>2031</t>
  </si>
  <si>
    <t>KEY ASSUMPTIONS</t>
  </si>
  <si>
    <t>Avg GMV / customer</t>
  </si>
  <si>
    <t>CUSTOMERS &amp; DEMAND</t>
  </si>
  <si>
    <t>Subscription / yr</t>
  </si>
  <si>
    <t>Paying customers (EOY)</t>
  </si>
  <si>
    <t>Take rate</t>
  </si>
  <si>
    <t>Pre-sold (acquired 2026, bill from 2027)</t>
  </si>
  <si>
    <t>Transaction capture</t>
  </si>
  <si>
    <t>Pre-season capture % (new adds)</t>
  </si>
  <si>
    <t>Jobs / customer / yr</t>
  </si>
  <si>
    <t>Annual logo churn %</t>
  </si>
  <si>
    <t>ACH cost / job</t>
  </si>
  <si>
    <t>Same-customer GMV growth %</t>
  </si>
  <si>
    <t>Layer-1 AI / FTE / yr</t>
  </si>
  <si>
    <t>Platform COGS / cust / yr</t>
  </si>
  <si>
    <t>MARKETING &amp; CUSTOMER ACQUISITION (grounded plan + scaling digital/national)</t>
  </si>
  <si>
    <t>Sales commission / new cust</t>
  </si>
  <si>
    <t xml:space="preserve">  Social &amp; content (base $10K/mo)</t>
  </si>
  <si>
    <t>ARR multiple</t>
  </si>
  <si>
    <t xml:space="preserve">  Digital marketing &amp; paid media</t>
  </si>
  <si>
    <t>Target all-in CAC</t>
  </si>
  <si>
    <t xml:space="preserve">  Event circuit — booth/reg + travel (+10%/yr from 2028)</t>
  </si>
  <si>
    <t xml:space="preserve">  National expansion (regional reps, booths, paid)</t>
  </si>
  <si>
    <t xml:space="preserve">  Memberships &amp; dues (12 orgs)</t>
  </si>
  <si>
    <t xml:space="preserve">  One-time launch capital (truck/trailer/merch/booth)</t>
  </si>
  <si>
    <t>Total marketing programs</t>
  </si>
  <si>
    <t>Grounded AG plan (2027 event circuit $93,752 + memberships $2,325 + $10K/mo social); event circuit grows 10%/yr from 2028 as shows are added; digital &amp; national expansion scale with reach. Marketing programs + sales commission = all-in CAC, compressing toward the $2,500 target by Year 5 (see Key Metrics). 2026 one-time $120K = truck $60K + trailer $15K + merch $15K + booth $30K.</t>
  </si>
  <si>
    <t>GENERAL &amp; ADMINISTRATIVE</t>
  </si>
  <si>
    <t>G&amp;A (tools, legal, insurance, CRM)</t>
  </si>
  <si>
    <t>STAFFING — FTE-years by category</t>
  </si>
  <si>
    <t xml:space="preserve">  CEO (founder)</t>
  </si>
  <si>
    <t xml:space="preserve">  Engineering</t>
  </si>
  <si>
    <t xml:space="preserve">  Sales</t>
  </si>
  <si>
    <t xml:space="preserve">  Marketing</t>
  </si>
  <si>
    <t xml:space="preserve">  Business Ops</t>
  </si>
  <si>
    <t xml:space="preserve">  Customer Success</t>
  </si>
  <si>
    <t xml:space="preserve">  Ag Specialists</t>
  </si>
  <si>
    <t>Total FTE-years</t>
  </si>
  <si>
    <t>STAFFING — avg base salary by category</t>
  </si>
  <si>
    <t>STAFFING — cost</t>
  </si>
  <si>
    <t>Total base salaries</t>
  </si>
  <si>
    <t>Benefits &amp; payroll load %</t>
  </si>
  <si>
    <t>Benefits &amp; payroll (health/401k/taxes)</t>
  </si>
  <si>
    <t>TOTAL PEOPLE COST</t>
  </si>
  <si>
    <t>2026 partial year: CEO+2 Eng from Aug, Ops/Mktg from Oct; Ag joins Jun-2027; benefits/401k from Jan-2028.</t>
  </si>
  <si>
    <t>REVENUE</t>
  </si>
  <si>
    <t>Customers (BOY)</t>
  </si>
  <si>
    <t>Churned</t>
  </si>
  <si>
    <t>Gross new adds</t>
  </si>
  <si>
    <t>Revenue-active customers (season)</t>
  </si>
  <si>
    <t>Subscription revenue</t>
  </si>
  <si>
    <t>Transaction revenue (2% x GMV)</t>
  </si>
  <si>
    <t>Recognized revenue (in-year, seasonal)</t>
  </si>
  <si>
    <t>COST OF REVENUE</t>
  </si>
  <si>
    <t>Payment processing (ACH)</t>
  </si>
  <si>
    <t>Platform (AI inference + AWS)</t>
  </si>
  <si>
    <t>Total COGS</t>
  </si>
  <si>
    <t>Gross profit</t>
  </si>
  <si>
    <t>Gross margin %</t>
  </si>
  <si>
    <t>OPERATING EXPENSES</t>
  </si>
  <si>
    <t>People (from staffing)</t>
  </si>
  <si>
    <t>Layer-1 AI (team tooling)</t>
  </si>
  <si>
    <t>Sales commission</t>
  </si>
  <si>
    <t>Marketing programs</t>
  </si>
  <si>
    <t>G&amp;A</t>
  </si>
  <si>
    <t>Total OpEx</t>
  </si>
  <si>
    <t>EBITDA</t>
  </si>
  <si>
    <t>EBITDA margin %</t>
  </si>
  <si>
    <t>Cumulative cash flow</t>
  </si>
  <si>
    <t>KEY METRICS</t>
  </si>
  <si>
    <t>OUTPUTS (headline)</t>
  </si>
  <si>
    <t>ARR (EOY run-rate, forward 12-mo)</t>
  </si>
  <si>
    <t>Year-5 ARR</t>
  </si>
  <si>
    <t>ARR growth %</t>
  </si>
  <si>
    <t>Implied valuation (20x)</t>
  </si>
  <si>
    <t>Revenue / FTE</t>
  </si>
  <si>
    <t>Peak cash need</t>
  </si>
  <si>
    <t>Net new ARR</t>
  </si>
  <si>
    <t>First CF-positive yr</t>
  </si>
  <si>
    <t>Net revenue retention (NRR)</t>
  </si>
  <si>
    <t>Year-5 EBITDA</t>
  </si>
  <si>
    <t>Burn multiple (net burn / net-new ARR)</t>
  </si>
  <si>
    <t>Year-5 EBITDA margin</t>
  </si>
  <si>
    <t>New customers acquired</t>
  </si>
  <si>
    <t>Year-5 blended CAC</t>
  </si>
  <si>
    <t>Customer-acquisition spend (mktg + commission)</t>
  </si>
  <si>
    <t>Implied blended CAC (target $2,500)</t>
  </si>
  <si>
    <t>Marketing % of recognized revenue</t>
  </si>
  <si>
    <t>Cloud Cowboy — Monthly Cash Flow (seasonalized)</t>
  </si>
  <si>
    <t>Annual base-case totals spread across the real ag spray calendar (Seasonality tab). Revenue, jobs &amp; ACH follow the season; event spend lands in the actual months shows occur (fall/winter-heavy); salaries, G&amp;A, platform, subscription spread evenly; 2026 cost loads Aug-Dec (launch). Monthly columns reconcile exactly to the annual Proforma.</t>
  </si>
  <si>
    <t>Year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</si>
  <si>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</si>
  <si>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</si>
  <si>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</si>
  <si>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</si>
  <si>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</si>
  <si>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</si>
  <si>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</si>
  <si>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</si>
  <si>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</si>
  <si>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</si>
  <si>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</si>
  <si>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</si>
  <si>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</si>
  <si>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Seasonal multiplier</t>
  </si>
  <si>
    <t>Jobs run (count)</t>
  </si>
  <si>
    <t>Transaction revenue (seasonal)</t>
  </si>
  <si>
    <t>TOTAL REVENUE</t>
  </si>
  <si>
    <t xml:space="preserve">  Payment processing (ACH)</t>
  </si>
  <si>
    <t xml:space="preserve">  Platform (AI + AWS)</t>
  </si>
  <si>
    <t xml:space="preserve">  People</t>
  </si>
  <si>
    <t xml:space="preserve">  Layer-1 AI tooling</t>
  </si>
  <si>
    <t xml:space="preserve">  Sales commission</t>
  </si>
  <si>
    <t xml:space="preserve">  Marketing — events (scheduled)</t>
  </si>
  <si>
    <t xml:space="preserve">  Marketing — social/digital/natl/dues</t>
  </si>
  <si>
    <t xml:space="preserve">  One-time launch capital</t>
  </si>
  <si>
    <t xml:space="preserve">  G&amp;A</t>
  </si>
  <si>
    <t>TOTAL COSTS</t>
  </si>
  <si>
    <t>NET (EBITDA)</t>
  </si>
  <si>
    <t>CUMULATIVE CASH</t>
  </si>
  <si>
    <t>Peak operating cash need (deepest cumulative trough)</t>
  </si>
  <si>
    <t>Trough month (lowest cash point)</t>
  </si>
  <si>
    <t>EVENTS — Plan &amp; Budget (combined)</t>
  </si>
  <si>
    <t>Toggle Include? = Y/N to add/remove an event; travel costs auto-calc from the assumptions; Capital Summary updates live. Blue = editable input.</t>
  </si>
  <si>
    <t>ASSUMPTIONS (drive travel costs)</t>
  </si>
  <si>
    <t>People attending</t>
  </si>
  <si>
    <t>People per room</t>
  </si>
  <si>
    <t>Lodging $/room/night</t>
  </si>
  <si>
    <t>Per diem $/person/day</t>
  </si>
  <si>
    <t>Mileage $/mile</t>
  </si>
  <si>
    <t>Rooms (auto)</t>
  </si>
  <si>
    <t>Event</t>
  </si>
  <si>
    <t>Include?</t>
  </si>
  <si>
    <t>Tier</t>
  </si>
  <si>
    <t>Date</t>
  </si>
  <si>
    <t>Location</t>
  </si>
  <si>
    <t>Attendance</t>
  </si>
  <si>
    <t>Strategic value</t>
  </si>
  <si>
    <t>Booth/Reg $</t>
  </si>
  <si>
    <t>RT Miles</t>
  </si>
  <si>
    <t>Days</t>
  </si>
  <si>
    <t>Nights</t>
  </si>
  <si>
    <t>Mileage $</t>
  </si>
  <si>
    <t>Lodging $</t>
  </si>
  <si>
    <t>Per Diem $</t>
  </si>
  <si>
    <t>Event Total</t>
  </si>
  <si>
    <t>Link</t>
  </si>
  <si>
    <t>Nebraska Ag &amp; Spray Drone Conference</t>
  </si>
  <si>
    <t>Y</t>
  </si>
  <si>
    <t>Top</t>
  </si>
  <si>
    <t>Aug 21-22, 2026</t>
  </si>
  <si>
    <t>Norfolk, NE</t>
  </si>
  <si>
    <t>~1,500 (industry)</t>
  </si>
  <si>
    <t>Spray drones, aerial application, regs, innovation</t>
  </si>
  <si>
    <t>cropwatch.unl.edu</t>
  </si>
  <si>
    <t>Farm Progress Show</t>
  </si>
  <si>
    <t>Sept 1-3, 2026</t>
  </si>
  <si>
    <t>Boone, IA</t>
  </si>
  <si>
    <t>~100,000+ (biennial)</t>
  </si>
  <si>
    <t>Row crops, equipment, precision ag; Drone Zone demos</t>
  </si>
  <si>
    <t>farmprogressshow.com</t>
  </si>
  <si>
    <t>Commercial UAV Expo Americas</t>
  </si>
  <si>
    <t>Strong</t>
  </si>
  <si>
    <t>Las Vegas, NV</t>
  </si>
  <si>
    <t>~4,000; 225+ exhibitors</t>
  </si>
  <si>
    <t>UAV tech across sectors incl. agriculture</t>
  </si>
  <si>
    <t>expouav.com</t>
  </si>
  <si>
    <t>Husker Harvest Days</t>
  </si>
  <si>
    <t>Sept 15-17, 2026</t>
  </si>
  <si>
    <t>Grand Island, NE</t>
  </si>
  <si>
    <t>~100,000</t>
  </si>
  <si>
    <t>Row crops, irrigation, equipment, technology</t>
  </si>
  <si>
    <t>huskerharvestdays.com</t>
  </si>
  <si>
    <t>Farm Science Review</t>
  </si>
  <si>
    <t>Sept 22-24, 2026</t>
  </si>
  <si>
    <t>London, OH</t>
  </si>
  <si>
    <t>~140,000</t>
  </si>
  <si>
    <t>Crop production, precision ag, equipment</t>
  </si>
  <si>
    <t>fsr.osu.edu/exhibitors</t>
  </si>
  <si>
    <t>Ozark Fall Farmfest</t>
  </si>
  <si>
    <t>Optional</t>
  </si>
  <si>
    <t>Oct 2-4, 2026</t>
  </si>
  <si>
    <t>Springfield, MO</t>
  </si>
  <si>
    <t>~50,000</t>
  </si>
  <si>
    <t>General agriculture, equipment, services</t>
  </si>
  <si>
    <t>ozarkfallfarmfest.com</t>
  </si>
  <si>
    <t>Sunbelt Ag Expo</t>
  </si>
  <si>
    <t>Oct 20-22, 2026</t>
  </si>
  <si>
    <t>Moultrie, GA</t>
  </si>
  <si>
    <t>Row/specialty crops, equipment, livestock</t>
  </si>
  <si>
    <t>sunbeltexpo.com/exhibitors</t>
  </si>
  <si>
    <t>Colorado AAA Convention (CoAAA)</t>
  </si>
  <si>
    <t>Early Nov 2026</t>
  </si>
  <si>
    <t>Lamar, CO</t>
  </si>
  <si>
    <t>CO aerial applicators &amp; ag pilots</t>
  </si>
  <si>
    <t>Aerial application, crop dusting, spray drones, regs; Fly-In</t>
  </si>
  <si>
    <t>coagav.org/events</t>
  </si>
  <si>
    <t>Western CO Farm &amp; Ranch Innovation Expo</t>
  </si>
  <si>
    <t>Nov 13-15, 2026</t>
  </si>
  <si>
    <t>Montrose, CO</t>
  </si>
  <si>
    <t>Regional (Western Slope)</t>
  </si>
  <si>
    <t>Soil health, water, livestock, equipment demos</t>
  </si>
  <si>
    <t>shavanocd.org</t>
  </si>
  <si>
    <t>NAAA Ag Aviation Expo</t>
  </si>
  <si>
    <t>Nov 16-18, 2026</t>
  </si>
  <si>
    <t>Savannah, GA</t>
  </si>
  <si>
    <t>Aerial applicators nationwide</t>
  </si>
  <si>
    <t>Aerial application, crop dusting, spray drones, regs</t>
  </si>
  <si>
    <t>agaviation.org</t>
  </si>
  <si>
    <t>National Western Stock Show</t>
  </si>
  <si>
    <t>Jan 9-24, 2027</t>
  </si>
  <si>
    <t>Denver, CO</t>
  </si>
  <si>
    <t>~700,000</t>
  </si>
  <si>
    <t>Livestock, ranching, ag heritage, trade show</t>
  </si>
  <si>
    <t>nationalwestern.com</t>
  </si>
  <si>
    <t>Colorado Farm Show</t>
  </si>
  <si>
    <t>Jan 26-28, 2027</t>
  </si>
  <si>
    <t>Greeley, CO</t>
  </si>
  <si>
    <t>~30,000; 300+ exhibitors</t>
  </si>
  <si>
    <t>Row crops, livestock, equipment, water, precision ag</t>
  </si>
  <si>
    <t>coloradofarmshow.com</t>
  </si>
  <si>
    <t>Spray Drone End User Conference (SDEUC)</t>
  </si>
  <si>
    <t>Late Jan 2027</t>
  </si>
  <si>
    <t>Kansas City, MO</t>
  </si>
  <si>
    <t>Largest spray-drone event in N. America</t>
  </si>
  <si>
    <t>Spray drones, aerial app, regs, business ops, dealers</t>
  </si>
  <si>
    <t>sdeuc.com</t>
  </si>
  <si>
    <t>Ag Conference of the Southern Rockies</t>
  </si>
  <si>
    <t>Early Feb 2027</t>
  </si>
  <si>
    <t>Monte Vista, CO</t>
  </si>
  <si>
    <t>Regional (San Luis Valley)</t>
  </si>
  <si>
    <t>Crop production, potatoes/specialty, water, ag tech</t>
  </si>
  <si>
    <t>agconferencesrm.com</t>
  </si>
  <si>
    <t>Commodity Classic</t>
  </si>
  <si>
    <t>Mar 3-5, 2027</t>
  </si>
  <si>
    <t>New Orleans, LA</t>
  </si>
  <si>
    <t>Large farmer-led convention</t>
  </si>
  <si>
    <t>Corn, soy, wheat, sorghum row crops, ag tech</t>
  </si>
  <si>
    <t>commodityclassic.com</t>
  </si>
  <si>
    <t>Four States Ag Expo</t>
  </si>
  <si>
    <t>Late Mar 2027</t>
  </si>
  <si>
    <t>Cortez, CO</t>
  </si>
  <si>
    <t>~200 exhibitors (Four Corners)</t>
  </si>
  <si>
    <t>Farming tech, livestock, equipment, ag services</t>
  </si>
  <si>
    <t>fourstatesagexpo.com</t>
  </si>
  <si>
    <t>XPONENTIAL (AUVSI)</t>
  </si>
  <si>
    <t>May 17-20, 2027</t>
  </si>
  <si>
    <t>Miami, FL</t>
  </si>
  <si>
    <t>Global uncrewed-systems event</t>
  </si>
  <si>
    <t>Drones, autonomy, robotics, policy</t>
  </si>
  <si>
    <t>xponential.org</t>
  </si>
  <si>
    <t>CSU Wheat Field Days</t>
  </si>
  <si>
    <t>June 2027</t>
  </si>
  <si>
    <t>Eastern CO trial sites</t>
  </si>
  <si>
    <t>Growers &amp; agronomists</t>
  </si>
  <si>
    <t>Wheat variety trials, agronomy, applied research</t>
  </si>
  <si>
    <t>agsci.colostate.edu/wheat</t>
  </si>
  <si>
    <t>TOTAL — INCLUDED EVENTS</t>
  </si>
  <si>
    <t>ONE-TIME / CAPITAL COSTS (launch — paid once)</t>
  </si>
  <si>
    <t>Item</t>
  </si>
  <si>
    <t>Cost $</t>
  </si>
  <si>
    <t>Wrapped truck (vehicle wrap + branding; event travel + customer engagement)</t>
  </si>
  <si>
    <t>Equipment trailer (haul booth + gear to conventions)</t>
  </si>
  <si>
    <t>Merch / giveaways (hats, koozies, samples, swag)</t>
  </si>
  <si>
    <t>Booth build / modular display system</t>
  </si>
  <si>
    <t>TOTAL — ONE-TIME / CAPITAL</t>
  </si>
  <si>
    <t>ORGS &amp; BOARDS — Plan &amp; Dues (combined)</t>
  </si>
  <si>
    <t>Toggle Include? = Y/N; dues total flows to the Capital Summary. Blue = editable input.</t>
  </si>
  <si>
    <t>Organization</t>
  </si>
  <si>
    <t>Priority</t>
  </si>
  <si>
    <t>Annual Dues $</t>
  </si>
  <si>
    <t>Type</t>
  </si>
  <si>
    <t>Who You'll Meet</t>
  </si>
  <si>
    <t>Board / Leadership Path</t>
  </si>
  <si>
    <t>How to Get Involved (Next Step)</t>
  </si>
  <si>
    <t>Colorado Agricultural Aviation Association (CoAAA)</t>
  </si>
  <si>
    <t>HIGH</t>
  </si>
  <si>
    <t>State trade assoc — aerial + drone applicators</t>
  </si>
  <si>
    <t>Aerial applicators, ag pilots, agronomists, crop consultants, vendors</t>
  </si>
  <si>
    <t>Board seats require a VOTING membership; max 2 voting/company. Realistic board path.</t>
  </si>
  <si>
    <t>Join as Allied Trades; attend annual convention; volunteer for a committee, then stand for the board.</t>
  </si>
  <si>
    <t>coagav.org/join-us</t>
  </si>
  <si>
    <t>National Ag Aviation Assoc (NAAA) — UAAS Committee</t>
  </si>
  <si>
    <t>National trade assoc + drone/crewed committee</t>
  </si>
  <si>
    <t>1,600+ members in 46 states: applicators, pilots, manufacturers</t>
  </si>
  <si>
    <t>UAAS Committee = national table where crewed+drone applicators set policy. Seek a seat.</t>
  </si>
  <si>
    <t>Join NAAA; join the UAAS Committee; attend Ag Aviation Expo (Savannah Nov 16-18).</t>
  </si>
  <si>
    <t>agaviation.org/membership</t>
  </si>
  <si>
    <t>Rocky Mountain Agribusiness Association (RMAA)</t>
  </si>
  <si>
    <t>Regional ag-retail / chemical &amp; fertilizer trade assoc</t>
  </si>
  <si>
    <t>Chemical &amp; fertilizer cos, ag retailers, grain/feed — the application channel</t>
  </si>
  <si>
    <t>Active members serve on committees and the board.</t>
  </si>
  <si>
    <t>Join; attend the January conference &amp; trade show; pitch drone application to ag retailers.</t>
  </si>
  <si>
    <t>rmagbiz.org/membership</t>
  </si>
  <si>
    <t>Colorado Farm Bureau (+ county chapters &amp; YF&amp;R)</t>
  </si>
  <si>
    <t>General farm membership org</t>
  </si>
  <si>
    <t>Farmers &amp; ranchers statewide and county-level; policy makers</t>
  </si>
  <si>
    <t>County -&gt; district -&gt; state board ladder. YF&amp;R one seat/district (18-35).</t>
  </si>
  <si>
    <t>Join; attend your COUNTY meetings; run for a county board seat.</t>
  </si>
  <si>
    <t>coloradofarmbureau.com/join</t>
  </si>
  <si>
    <t>Colorado Dept of Ag — Advisory Committees &amp; Ag Commission</t>
  </si>
  <si>
    <t>State government boards/commissions</t>
  </si>
  <si>
    <t>Ag leaders, regulators, weed/herbicide pros, commodity reps</t>
  </si>
  <si>
    <t>Apply anytime. Noxious Weed Advisory Committee overlaps herbicide application. Ag Commission = 9 governor seats.</t>
  </si>
  <si>
    <t>Apply to the Noxious Weed Advisory Committee; submit a Boards &amp; Commissions app.</t>
  </si>
  <si>
    <t>ag.colorado.gov/boards-and-commissions</t>
  </si>
  <si>
    <t>Colorado Corn (Growers Assoc + Admin Committee)</t>
  </si>
  <si>
    <t>MED</t>
  </si>
  <si>
    <t>Commodity organization</t>
  </si>
  <si>
    <t>Corn growers, row-crop decision-makers, ag-tech partners</t>
  </si>
  <si>
    <t>Growers Assoc board + checkoff Administrative Committee seats.</t>
  </si>
  <si>
    <t>Join the Growers Association; attend events; build toward a committee role.</t>
  </si>
  <si>
    <t>coloradocorn.com/events</t>
  </si>
  <si>
    <t>Colorado Wheat (Assoc of Wheat Growers + Admin Cmte)</t>
  </si>
  <si>
    <t>Wheat growers and agronomists across the Eastern Plains</t>
  </si>
  <si>
    <t>Association board + Wheat Administrative Committee seats.</t>
  </si>
  <si>
    <t>Join; attend CSU wheat field days &amp; wheat events; network toward a seat.</t>
  </si>
  <si>
    <t>coloradowheat.org</t>
  </si>
  <si>
    <t>Colorado Weed Management Association (CWMA)</t>
  </si>
  <si>
    <t>Professional / applicator network (501c3)</t>
  </si>
  <si>
    <t>Commercial &amp; private applicators, weed-mgmt pros, agencies</t>
  </si>
  <si>
    <t>Member-led board and committees; volunteer-friendly.</t>
  </si>
  <si>
    <t>Join; attend annual conference; position drone application as a weed-control tool.</t>
  </si>
  <si>
    <t>cwma.org</t>
  </si>
  <si>
    <t>Local Conservation District / NRCS Working Group</t>
  </si>
  <si>
    <t>Local government / producer advisory</t>
  </si>
  <si>
    <t>Local farmers/ranchers, soil-health &amp; water leaders, NRCS staff</t>
  </si>
  <si>
    <t>Elected/appointed supervisor seats; Local Working Group shapes funding.</t>
  </si>
  <si>
    <t>Attend your county conservation district meetings; run for a supervisor seat.</t>
  </si>
  <si>
    <t>Search "[county] Conservation District CO"</t>
  </si>
  <si>
    <t>Drone Service Providers Alliance (DSPA)</t>
  </si>
  <si>
    <t>National drone-operator advocacy (CO-based)</t>
  </si>
  <si>
    <t>Small/mid drone service providers, drone-policy advocates</t>
  </si>
  <si>
    <t>Member-driven; volunteer for working groups.</t>
  </si>
  <si>
    <t>Join online; engage FAA/Part-137 advocacy.</t>
  </si>
  <si>
    <t>dspalliance.org/join-us</t>
  </si>
  <si>
    <t>Commercial Drone Alliance</t>
  </si>
  <si>
    <t>LOW</t>
  </si>
  <si>
    <t>National enterprise drone policy advocacy</t>
  </si>
  <si>
    <t>Enterprise drone operators, manufacturers, policy stakeholders</t>
  </si>
  <si>
    <t>Committees/working groups for members.</t>
  </si>
  <si>
    <t>Join if pursuing national policy visibility or enterprise partnerships.</t>
  </si>
  <si>
    <t>commercialdronealliance.org</t>
  </si>
  <si>
    <t>Certified Crop Adviser (CCA) credential</t>
  </si>
  <si>
    <t>Professional certification</t>
  </si>
  <si>
    <t>Agronomists, crop consultants, applicators (in CE settings)</t>
  </si>
  <si>
    <t>Not a board, but credibility currency for agronomy tables.</t>
  </si>
  <si>
    <t>Pursue the CCA credential to gain standing with applicators.</t>
  </si>
  <si>
    <t>certifiedcropadviser.org</t>
  </si>
  <si>
    <t>TOTAL — INCLUDED MEMBERSHIPS</t>
  </si>
  <si>
    <t>CLOUD COWBOY — YEAR 1 CAPITAL SUMMARY</t>
  </si>
  <si>
    <t>Live totals — edit any blue input or toggle on the Events / Orgs &amp; Boards tabs and everything here updates. Green = pulled from other tabs.</t>
  </si>
  <si>
    <t>A. EVENT COSTS</t>
  </si>
  <si>
    <t xml:space="preserve">   Booth / registration (included events)</t>
  </si>
  <si>
    <t xml:space="preserve">   Mileage (driving)</t>
  </si>
  <si>
    <t xml:space="preserve">   Lodging</t>
  </si>
  <si>
    <t xml:space="preserve">   Per diem (meals)</t>
  </si>
  <si>
    <t xml:space="preserve">   Events subtotal</t>
  </si>
  <si>
    <t>B. MEMBERSHIPS &amp; DUES</t>
  </si>
  <si>
    <t xml:space="preserve">   Memberships subtotal (annual)</t>
  </si>
  <si>
    <t>C. ONE-TIME / CAPITAL (from Events tab)</t>
  </si>
  <si>
    <t xml:space="preserve">   Wrapped truck (wrap + branding; event travel + customer engagement)</t>
  </si>
  <si>
    <t xml:space="preserve">   Equipment trailer (haul booth + gear)</t>
  </si>
  <si>
    <t xml:space="preserve">   Merch / giveaways (swag, samples)</t>
  </si>
  <si>
    <t xml:space="preserve">   Booth build / modular display system</t>
  </si>
  <si>
    <t xml:space="preserve">   One-time / capital subtotal</t>
  </si>
  <si>
    <t>D. CONTINGENCY</t>
  </si>
  <si>
    <t xml:space="preserve">   Contingency %</t>
  </si>
  <si>
    <t xml:space="preserve">   Contingency $</t>
  </si>
  <si>
    <t>GRAND TOTAL — YEAR 1</t>
  </si>
  <si>
    <t>EVENT SPEND BY PRIORITY TIER (included events only)</t>
  </si>
  <si>
    <t># Events</t>
  </si>
  <si>
    <t>All included events</t>
  </si>
  <si>
    <t>NOTE: Full-send drives 3 people to each booth event. Booth/reg figures are estimates pending confirmation. Set any Include? to N to drop an event/org and watch every total update.</t>
  </si>
  <si>
    <t>SEASONAL CONTRACT MULTIPLIERS</t>
  </si>
  <si>
    <t>Multiplier</t>
  </si>
  <si>
    <t>Avg = 1.00; reflects real ag spray calendar. Apr-May &amp; Jul-Aug = peak; Nov-Dec = dead.</t>
  </si>
  <si>
    <t>Event timing %</t>
  </si>
  <si>
    <t>Share of annual event circuit by month — derived from the 18-show calendar (fall/winter heavy)</t>
  </si>
  <si>
    <t>January</t>
  </si>
  <si>
    <t>Dead of winter; nearly zero activity</t>
  </si>
  <si>
    <t>Natl Western Stock Show, CO Farm Show</t>
  </si>
  <si>
    <t>February</t>
  </si>
  <si>
    <t>Very slow; some early planning</t>
  </si>
  <si>
    <t>Western CO Expo, SDEUC, Ag Conf S. Rockies</t>
  </si>
  <si>
    <t>March</t>
  </si>
  <si>
    <t>Winding up; equipment prep, early bookings</t>
  </si>
  <si>
    <t>Commodity Classic, Four States Ag</t>
  </si>
  <si>
    <t>April</t>
  </si>
  <si>
    <t>Mid-month ramp to full capacity; blended moderate-to-peak</t>
  </si>
  <si>
    <t>—</t>
  </si>
  <si>
    <t>Peak: work limited only by crew size and equipment</t>
  </si>
  <si>
    <t>June</t>
  </si>
  <si>
    <t>~90% capacity; steady high-volume work</t>
  </si>
  <si>
    <t>July</t>
  </si>
  <si>
    <t>Absolute rush; peak demand end-June through mid-Aug</t>
  </si>
  <si>
    <t>August</t>
  </si>
  <si>
    <t>Rush continues first half; begins tapering</t>
  </si>
  <si>
    <t>Nebraska Ag &amp; Spray Drone</t>
  </si>
  <si>
    <t>September</t>
  </si>
  <si>
    <t>Rampdown begins; slows significantly</t>
  </si>
  <si>
    <t>Farm Progress, Commercial UAV, Husker Harvest, Farm Science Review</t>
  </si>
  <si>
    <t>October</t>
  </si>
  <si>
    <t>Significant slowdown; season winding down</t>
  </si>
  <si>
    <t>Ozark Farmfest, Sunbelt Ag Expo</t>
  </si>
  <si>
    <t>November</t>
  </si>
  <si>
    <t>Off-season</t>
  </si>
  <si>
    <t>CoAAA Convention</t>
  </si>
  <si>
    <t>December</t>
  </si>
  <si>
    <t>Year-end; dead</t>
  </si>
  <si>
    <t>Average (should = 1.00)</t>
  </si>
  <si>
    <t>Cloud Cowboy — Investor Notes &amp; Story</t>
  </si>
  <si>
    <t>Plain-language explanation of every major assumption in this model, so it stands on its own in the data room. Prepared for Quantum Ventures.</t>
  </si>
  <si>
    <t>1. The one-line thesis</t>
  </si>
  <si>
    <t>Cloud Cowboy is the operating system for agricultural service providers — the payments-embedded platform that runs quoting, dispatch, flight planning, and billing for spray-drone and custom-application businesses. Because every job is invoiced and paid through us (ACH via Stripe), we capture transaction volume directly. We are the system of record that runs the business, not a marketplace taking a referral slice.</t>
  </si>
  <si>
    <t>2. How to read this model</t>
  </si>
  <si>
    <t>Base case only. Blue cells are adjustable inputs; black cells are formulas — change any blue number and the whole model recalculates. The portal will expose Aggressive / Conservative toggles on top of this base. Years run 2026 (Year 0, build) through 2031 (Year 5). All figures are US-only; the platform is built systems-agnostic and global-ready, but every number here is the US plan.</t>
  </si>
  <si>
    <t>3. Customer ramp — why it is deliberately conservative</t>
  </si>
  <si>
    <t>No hockey stick. 50 customers are pre-sold during the 2026 build year and begin billing in 2027, so 2026 shows zero paying customers and zero churn by design. We grow to 125 / 300 / 650 / 1,250 / 2,000 paying customers by 2031, intentionally capped at 2,000 — going larger this early strains credibility more than it adds value. Annual logo churn improves from 8% to 5% as the product deepens and switching cost rises.</t>
  </si>
  <si>
    <t>4. Revenue — two numbers, on purpose</t>
  </si>
  <si>
    <t>Recognized revenue is in-year and seasonal: customers acquired mid-season only contribute partial GMV that year, so recognized revenue trails the run-rate. ARR is the end-of-year run-rate — the forward 12-month value of the customer base — and is what the valuation multiple is applied to. We monetize two ways: a $12,000 annual subscription plus 2% of all transaction volume. At ~$900K average GMV per customer, that is ~$30K ARR per customer, so 2,000 customers = $60M ARR.</t>
  </si>
  <si>
    <t>5. Why 100% transaction capture is defensible</t>
  </si>
  <si>
    <t>This is the core of the model and the assumption to probe hardest. We are not lead-gen: once a provider runs quoting, scheduling, and invoicing on Cloud Cowboy, payment runs natively through the platform (ACH via Stripe, ~$5/job). Capture approaches 100% by construction — the same dynamic by which Toast captures restaurant payments and ServiceTitan captures the trades. If a provider processes payments off-platform, they lose the workflow that makes the platform useful.</t>
  </si>
  <si>
    <t>6. Marketing &amp; CAC — the efficiency story</t>
  </si>
  <si>
    <t>Marketing is built bottoms-up, not as a plug. The grounded foundation is our real field plan: 18 ag conventions ($93,752 full-send circuit; see the reference tabs), $10K/mo social &amp; content, 12 industry memberships, and $120K of one-time launch capital (wrapped truck, equipment trailer, merch, booth build). The event circuit grows 10%/yr from 2028 as we add shows; digital media and a national-expansion line scale with our footprint. The result: blended CAC (marketing + sales commission ÷ new customers) starts high near $6K — we invest in brand and presence ahead of volume — then compresses to roughly our $2,500 target by Year 5 as fixed spend leverages over a larger base. Marketing as a share of revenue falls from ~14% to low-single-digits, which is the operating leverage an investor wants to see.</t>
  </si>
  <si>
    <t>7. Staffing &amp; FTE — how headcount is counted</t>
  </si>
  <si>
    <t>Headcount is measured in FTE-years (full-time equivalents), not raw bodies, so partial-year hires are costed correctly. One FTE is one person working full-time for the full year; a half-time role is 0.5, and someone who starts mid-year counts only for the fraction of the year they are on payroll. Example: the CEO is 0.42 FTE in 2026 because salary starts in August (about 5 of 12 months), and the two founding engineers total ~0.83 FTE that year. This is why 2026 is a partial payroll year: CEO + 2 engineers from August, Business Ops + Marketing from October, and the Ag specialist joining mid-2027. By 2031 the company runs ~47 FTE across seven categories (engineering, sales, marketing, business ops, customer success, ag specialists, and the founder). Salaries are competitive and scale by category; benefits and payroll load step from 10% to 28% on Jan 1, 2028, when full healthcare and 401(k) begin.</t>
  </si>
  <si>
    <t>8. G&amp;A — what the overhead line covers</t>
  </si>
  <si>
    <t>G&amp;A is company overhead, kept separate from the cost of delivering the product (payments and platform/AI sit in COGS) and from go-to-market (marketing and sales commission sit above it). It scales with headcount at roughly $33-35K per FTE per year and is front-loaded in 2026 for company formation. It covers software and internal tools (Workspace, Slack, GitHub, accounting, HR/payroll, the CRM); legal and compliance (entity, contracts, IP and patent filings, fundraising legal, SOC 2 and data-privacy work); insurance (general liability, tech E&amp;O, cyber, and D&amp;O after the round); and finance and admin (bookkeeping, tax, fractional CFO, recruiting). As a share of revenue it falls from ~17% to ~4% by Year 5 — the operating leverage of a remote-first, AI-native team.</t>
  </si>
  <si>
    <t>9. Unit economics &amp; margin</t>
  </si>
  <si>
    <t>Strong gross and EBITDA margins are a feature of the operating-system model: software-plus-payments revenue against a lean, AI-native cost base where bespoke agents handle work that would otherwise be headcount. The business reaches cash-flow positive in 2028 on a peak operating cash need under ~$0.7M. The honest caveat, stated plainly: margins this strong depend on the $30K ARR/customer and high transaction-capture assumptions holding. That is the number we expect rigorous diligence to test, and we welcome the test.</t>
  </si>
  <si>
    <t>10. Seasonality &amp; monthly cash flow</t>
  </si>
  <si>
    <t>Ag is not a steady business, so a flat 1/12 monthly view would mislead. The Monthly Cash Flow tab spreads the annual base case across the real spray calendar (Seasonality tab): revenue, jobs, and payment processing follow the season (near-zero Nov-Mar, peak Apr-Aug), while salaries, G&amp;A, platform, and subscription are paid evenly all year. Event spend is placed in the actual months each of the 18 shows occurs — which is fall- and winter-heavy, the opposite of revenue. The honest consequence: the company carries full fixed cost through every winter before the season pays, so the true cash low point is mid-spring, not year-end. In the base case the deepest point is about $0.80M in March 2027 — meaningfully below the $0.63M year-end figure — and that intra-year trough, not the annual number, is what the raise must cover. Every monthly column sums exactly back to the annual Proforma.</t>
  </si>
  <si>
    <t>11. What we would stress-test (and bracket in the conservative case)</t>
  </si>
  <si>
    <t>Lower transaction capture, a slower customer ramp, higher churn, and a CAC that compresses more slowly. The portals conservative toggle will bracket each of these. We would rather hand you the downside than have you discover it — the base case is a plan, not a promise.</t>
  </si>
  <si>
    <t>12. Reference tabs</t>
  </si>
  <si>
    <t>The Events, Orgs &amp; Boards, and Capital Summary tabs are our live field-marketing plan: every convention with its date/location, strategic value, booth/registration and travel cost; every membership with its dues and board path; and the one-time launch capital — each with Y/N toggles that update the totals. These tabs are the source of the grounded marketing numbers in the model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</si>
</sst>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$#,##0;&quot;($&quot;#,##0\);\-"/>
    <numFmt numFmtId="165" formatCode="#,##0;\(#,##0\);\-"/>
    <numFmt numFmtId="166" formatCode="0.0%"/>
    <numFmt numFmtId="167" formatCode="\$#,##0"/>
    <numFmt numFmtId="168" formatCode="0.0\x"/>
    <numFmt numFmtId="169" formatCode="#,##0.0;\(#,##0.0\);\-"/>
    <numFmt numFmtId="170" formatCode="0.00\x"/>
  </numFmts>
  <fonts count="11" x14ac:knownFonts="1">
    <font>
      <sz val="11"/>
      <color theme="1"/>
      <name val="Calibri"/>
      <family val="2"/>
      <charset val="1"/>
    </font>
    <font>
      <b/>
      <sz val="15"/>
      <color rgb="FFBF5700"/>
      <name val="Arial"/>
      <family val="2"/>
      <charset val="1"/>
    </font>
    <font>
      <i/>
      <sz val="9"/>
      <color rgb="FF5A5A5A"/>
      <name val="Arial"/>
      <family val="2"/>
      <charset val="1"/>
    </font>
    <font>
      <b/>
      <sz val="10"/>
      <color rgb="FFF5EDE0"/>
      <name val="Arial"/>
      <family val="2"/>
      <charset val="1"/>
    </font>
    <font>
      <sz val="10"/>
      <name val="Arial"/>
      <family val="2"/>
      <charset val="1"/>
    </font>
    <font>
      <sz val="10"/>
      <color rgb="FF1F5FAA"/>
      <name val="Arial"/>
      <family val="2"/>
      <charset val="1"/>
    </font>
    <font>
      <b/>
      <sz val="10"/>
      <name val="Arial"/>
      <family val="2"/>
      <charset val="1"/>
    </font>
    <font>
      <i/>
      <sz val="8"/>
      <color rgb="FF8A8A8A"/>
      <name val="Arial"/>
      <family val="2"/>
      <charset val="1"/>
    </font>
    <font>
      <b/>
      <sz val="11"/>
      <color rgb="FFF5EDE0"/>
      <name val="Arial"/>
      <family val="2"/>
      <charset val="1"/>
    </font>
    <font>
      <sz val="10"/>
      <color rgb="FF1F7A3D"/>
      <name val="Arial"/>
      <family val="2"/>
      <charset val="1"/>
    </font>
    <font>
      <b/>
      <sz val="11"/>
      <color rgb="FF1F4E37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6242B"/>
        <bgColor rgb="FF003300"/>
      </patternFill>
    </fill>
    <fill>
      <patternFill patternType="solid">
        <fgColor rgb="FFFCF4E6"/>
        <bgColor rgb="FFF5EDE0"/>
      </patternFill>
    </fill>
    <fill>
      <patternFill patternType="solid">
        <fgColor rgb="FFE4EBF1"/>
        <bgColor rgb="FFF5EDE0"/>
      </patternFill>
    </fill>
    <fill>
      <patternFill patternType="solid">
        <fgColor rgb="FFBF5700"/>
        <bgColor rgb="FFFF66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0" fillId="2" borderId="0" xfId="0" applyFill="1"/>
    <xf numFmtId="0" fontId="4" fillId="0" borderId="0" xfId="0" applyFont="1"/>
    <xf numFmtId="164" fontId="5" fillId="3" borderId="0" xfId="0" applyNumberFormat="1" applyFont="1" applyFill="1"/>
    <xf numFmtId="0" fontId="6" fillId="4" borderId="0" xfId="0" applyFont="1" applyFill="1"/>
    <xf numFmtId="0" fontId="0" fillId="4" borderId="0" xfId="0" applyFill="1"/>
    <xf numFmtId="165" fontId="5" fillId="3" borderId="0" xfId="0" applyNumberFormat="1" applyFont="1" applyFill="1" applyAlignment="1">
      <alignment horizontal="right"/>
    </xf>
    <xf numFmtId="166" fontId="5" fillId="3" borderId="0" xfId="0" applyNumberFormat="1" applyFont="1" applyFill="1"/>
    <xf numFmtId="166" fontId="5" fillId="3" borderId="0" xfId="0" applyNumberFormat="1" applyFont="1" applyFill="1" applyAlignment="1">
      <alignment horizontal="right"/>
    </xf>
    <xf numFmtId="165" fontId="5" fillId="3" borderId="0" xfId="0" applyNumberFormat="1" applyFont="1" applyFill="1"/>
    <xf numFmtId="167" fontId="5" fillId="3" borderId="0" xfId="0" applyNumberFormat="1" applyFont="1" applyFill="1"/>
    <xf numFmtId="164" fontId="5" fillId="3" borderId="0" xfId="0" applyNumberFormat="1" applyFont="1" applyFill="1" applyAlignment="1">
      <alignment horizontal="right"/>
    </xf>
    <xf numFmtId="168" fontId="5" fillId="3" borderId="0" xfId="0" applyNumberFormat="1" applyFont="1" applyFill="1"/>
    <xf numFmtId="0" fontId="6" fillId="0" borderId="0" xfId="0" applyFont="1"/>
    <xf numFmtId="164" fontId="6" fillId="0" borderId="0" xfId="0" applyNumberFormat="1" applyFont="1" applyAlignment="1">
      <alignment horizontal="right"/>
    </xf>
    <xf numFmtId="0" fontId="7" fillId="0" borderId="0" xfId="0" applyFont="1"/>
    <xf numFmtId="169" fontId="5" fillId="3" borderId="0" xfId="0" applyNumberFormat="1" applyFont="1" applyFill="1" applyAlignment="1">
      <alignment horizontal="right"/>
    </xf>
    <xf numFmtId="169" fontId="6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169" fontId="4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0" fontId="3" fillId="5" borderId="0" xfId="0" applyFont="1" applyFill="1"/>
    <xf numFmtId="0" fontId="0" fillId="5" borderId="0" xfId="0" applyFill="1"/>
    <xf numFmtId="164" fontId="6" fillId="0" borderId="0" xfId="0" applyNumberFormat="1" applyFont="1"/>
    <xf numFmtId="165" fontId="6" fillId="0" borderId="0" xfId="0" applyNumberFormat="1" applyFont="1"/>
    <xf numFmtId="170" fontId="4" fillId="0" borderId="0" xfId="0" applyNumberFormat="1" applyFont="1" applyAlignment="1">
      <alignment horizontal="right"/>
    </xf>
    <xf numFmtId="166" fontId="6" fillId="0" borderId="0" xfId="0" applyNumberFormat="1" applyFont="1"/>
    <xf numFmtId="167" fontId="6" fillId="0" borderId="0" xfId="0" applyNumberFormat="1" applyFont="1"/>
    <xf numFmtId="167" fontId="6" fillId="0" borderId="0" xfId="0" applyNumberFormat="1" applyFont="1" applyAlignment="1">
      <alignment horizontal="right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3" fontId="5" fillId="3" borderId="0" xfId="0" applyNumberFormat="1" applyFont="1" applyFill="1" applyAlignment="1">
      <alignment horizontal="right"/>
    </xf>
    <xf numFmtId="167" fontId="5" fillId="3" borderId="0" xfId="0" applyNumberFormat="1" applyFont="1" applyFill="1" applyAlignment="1">
      <alignment horizontal="right"/>
    </xf>
    <xf numFmtId="2" fontId="5" fillId="3" borderId="0" xfId="0" applyNumberFormat="1" applyFont="1" applyFill="1" applyAlignment="1">
      <alignment horizontal="right"/>
    </xf>
    <xf numFmtId="3" fontId="4" fillId="0" borderId="0" xfId="0" applyNumberFormat="1" applyFont="1" applyAlignment="1">
      <alignment horizontal="right"/>
    </xf>
    <xf numFmtId="0" fontId="8" fillId="2" borderId="0" xfId="0" applyFont="1" applyFill="1" applyAlignment="1">
      <alignment horizontal="left"/>
    </xf>
    <xf numFmtId="0" fontId="8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wrapText="1"/>
    </xf>
    <xf numFmtId="167" fontId="4" fillId="0" borderId="0" xfId="0" applyNumberFormat="1" applyFont="1" applyAlignment="1">
      <alignment horizontal="right"/>
    </xf>
    <xf numFmtId="0" fontId="6" fillId="0" borderId="0" xfId="0" applyFont="1" applyAlignment="1">
      <alignment horizontal="center"/>
    </xf>
    <xf numFmtId="167" fontId="9" fillId="0" borderId="0" xfId="0" applyNumberFormat="1" applyFont="1" applyAlignment="1">
      <alignment horizontal="right"/>
    </xf>
    <xf numFmtId="9" fontId="5" fillId="3" borderId="0" xfId="0" applyNumberFormat="1" applyFont="1" applyFill="1" applyAlignment="1">
      <alignment horizontal="right"/>
    </xf>
    <xf numFmtId="167" fontId="6" fillId="4" borderId="0" xfId="0" applyNumberFormat="1" applyFont="1" applyFill="1" applyAlignment="1">
      <alignment horizontal="right"/>
    </xf>
    <xf numFmtId="3" fontId="6" fillId="0" borderId="0" xfId="0" applyNumberFormat="1" applyFont="1" applyAlignment="1">
      <alignment horizontal="right"/>
    </xf>
    <xf numFmtId="2" fontId="2" fillId="0" borderId="0" xfId="0" applyNumberFormat="1" applyFont="1"/>
    <xf numFmtId="166" fontId="2" fillId="0" borderId="0" xfId="0" applyNumberFormat="1" applyFont="1"/>
    <xf numFmtId="0" fontId="10" fillId="0" borderId="0" xfId="0" applyFont="1"/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CF4E6"/>
      <rgbColor rgb="FFFF0000"/>
      <rgbColor rgb="FF00FF00"/>
      <rgbColor rgb="FF0000FF"/>
      <rgbColor rgb="FFFFFF00"/>
      <rgbColor rgb="FFFF00FF"/>
      <rgbColor rgb="FF00FFFF"/>
      <rgbColor rgb="FF800000"/>
      <rgbColor rgb="FF1F7A3D"/>
      <rgbColor rgb="FF000080"/>
      <rgbColor rgb="FF808000"/>
      <rgbColor rgb="FF800080"/>
      <rgbColor rgb="FF008080"/>
      <rgbColor rgb="FFC0C0C0"/>
      <rgbColor rgb="FF878787"/>
      <rgbColor rgb="FF62A2DD"/>
      <rgbColor rgb="FF993366"/>
      <rgbColor rgb="FFF5EDE0"/>
      <rgbColor rgb="FFE4EBF1"/>
      <rgbColor rgb="FF660066"/>
      <rgbColor rgb="FFFF8080"/>
      <rgbColor rgb="FF1F5FAA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5A5A"/>
      <rgbColor rgb="FF8A8A8A"/>
      <rgbColor rgb="FF003366"/>
      <rgbColor rgb="FF339966"/>
      <rgbColor rgb="FF003300"/>
      <rgbColor rgb="FF1F4E37"/>
      <rgbColor rgb="FFBF5700"/>
      <rgbColor rgb="FF993366"/>
      <rgbColor rgb="FF333399"/>
      <rgbColor rgb="FF1624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ARR by Year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BF5700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Proforma!$B$5:$G$5</c:f>
              <c:strCach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strCache>
            </c:strRef>
          </c:cat>
          <c:val>
            <c:numRef>
              <c:f>Proforma!$B$87:$G$87</c:f>
              <c:numCache>
                <c:formatCode>\$#,##0;"($"#,##0\);\-</c:formatCode>
                <c:ptCount val="6"/>
                <c:pt idx="0">
                  <c:v>0</c:v>
                </c:pt>
                <c:pt idx="1">
                  <c:v>3750000</c:v>
                </c:pt>
                <c:pt idx="2">
                  <c:v>9000000</c:v>
                </c:pt>
                <c:pt idx="3">
                  <c:v>19500000</c:v>
                </c:pt>
                <c:pt idx="4">
                  <c:v>37500000</c:v>
                </c:pt>
                <c:pt idx="5">
                  <c:v>60000000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5F-5441-B79F-F972286E9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197142"/>
        <c:axId val="733871"/>
      </c:barChart>
      <c:catAx>
        <c:axId val="2819714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33871"/>
        <c:crosses val="autoZero"/>
        <c:auto val="1"/>
        <c:lblAlgn val="ctr"/>
        <c:lblOffset val="100"/>
        <c:noMultiLvlLbl val="0"/>
      </c:catAx>
      <c:valAx>
        <c:axId val="7338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819714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Cumulative Cash Flow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080">
              <a:solidFill>
                <a:srgbClr val="62A2D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Proforma!$B$5:$G$5</c:f>
              <c:strCach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strCache>
            </c:strRef>
          </c:cat>
          <c:val>
            <c:numRef>
              <c:f>Proforma!$B$84:$G$84</c:f>
              <c:numCache>
                <c:formatCode>\$#,##0;"($"#,##0\);\-</c:formatCode>
                <c:ptCount val="6"/>
                <c:pt idx="0">
                  <c:v>-631411</c:v>
                </c:pt>
                <c:pt idx="1">
                  <c:v>-392645.5</c:v>
                </c:pt>
                <c:pt idx="2">
                  <c:v>834233.75</c:v>
                </c:pt>
                <c:pt idx="3">
                  <c:v>6730788.7499999981</c:v>
                </c:pt>
                <c:pt idx="4">
                  <c:v>22431487.875</c:v>
                </c:pt>
                <c:pt idx="5">
                  <c:v>53963014.625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A26-904D-824C-F14ACCF8C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4596398"/>
        <c:axId val="1405309"/>
      </c:lineChart>
      <c:catAx>
        <c:axId val="6459639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405309"/>
        <c:crosses val="autoZero"/>
        <c:auto val="1"/>
        <c:lblAlgn val="ctr"/>
        <c:lblOffset val="100"/>
        <c:noMultiLvlLbl val="0"/>
      </c:catAx>
      <c:valAx>
        <c:axId val="14053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459639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Cumulative Cash — Monthly (the seasonal saw-tooth)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1960">
              <a:solidFill>
                <a:srgbClr val="BF57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'Monthly Cash Flow'!$B$5:$BU$5</c:f>
              <c:strCache>
                <c:ptCount val="7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Jan</c:v>
                </c:pt>
                <c:pt idx="37">
                  <c:v>Feb</c:v>
                </c:pt>
                <c:pt idx="38">
                  <c:v>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Jan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Jan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</c:strCache>
            </c:strRef>
          </c:cat>
          <c:val>
            <c:numRef>
              <c:f>'Monthly Cash Flow'!$B$25:$BU$25</c:f>
              <c:numCache>
                <c:formatCode>\$#,##0;"($"#,##0\);\-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-136571.726</c:v>
                </c:pt>
                <c:pt idx="8">
                  <c:v>-294429.89319999999</c:v>
                </c:pt>
                <c:pt idx="9">
                  <c:v>-438473.70319999999</c:v>
                </c:pt>
                <c:pt idx="10">
                  <c:v>-532626.67720000003</c:v>
                </c:pt>
                <c:pt idx="11">
                  <c:v>-631411</c:v>
                </c:pt>
                <c:pt idx="12">
                  <c:v>-694224.57338333328</c:v>
                </c:pt>
                <c:pt idx="13">
                  <c:v>-756839.69321666658</c:v>
                </c:pt>
                <c:pt idx="14">
                  <c:v>-797227.46929999988</c:v>
                </c:pt>
                <c:pt idx="15">
                  <c:v>-724869.24013333325</c:v>
                </c:pt>
                <c:pt idx="16">
                  <c:v>-584492.82946666656</c:v>
                </c:pt>
                <c:pt idx="17">
                  <c:v>-486296.18059999991</c:v>
                </c:pt>
                <c:pt idx="18">
                  <c:v>-333919.51393333322</c:v>
                </c:pt>
                <c:pt idx="19">
                  <c:v>-237044.76826666656</c:v>
                </c:pt>
                <c:pt idx="20">
                  <c:v>-252834.5304499999</c:v>
                </c:pt>
                <c:pt idx="21">
                  <c:v>-283242.22188333323</c:v>
                </c:pt>
                <c:pt idx="22">
                  <c:v>-332955.44256666658</c:v>
                </c:pt>
                <c:pt idx="23">
                  <c:v>-392645.49999999988</c:v>
                </c:pt>
                <c:pt idx="24">
                  <c:v>-534247.12025833316</c:v>
                </c:pt>
                <c:pt idx="25">
                  <c:v>-667806.45884166646</c:v>
                </c:pt>
                <c:pt idx="26">
                  <c:v>-736633.37554999976</c:v>
                </c:pt>
                <c:pt idx="27">
                  <c:v>-496140.92763333314</c:v>
                </c:pt>
                <c:pt idx="28">
                  <c:v>-35812.016966666502</c:v>
                </c:pt>
                <c:pt idx="29">
                  <c:v>281441.50690000015</c:v>
                </c:pt>
                <c:pt idx="30">
                  <c:v>754970.67356666678</c:v>
                </c:pt>
                <c:pt idx="31">
                  <c:v>1070770.1067333333</c:v>
                </c:pt>
                <c:pt idx="32">
                  <c:v>1109565.735175</c:v>
                </c:pt>
                <c:pt idx="33">
                  <c:v>1075886.3249916667</c:v>
                </c:pt>
                <c:pt idx="34">
                  <c:v>964575.52618333336</c:v>
                </c:pt>
                <c:pt idx="35">
                  <c:v>834233.75</c:v>
                </c:pt>
                <c:pt idx="36">
                  <c:v>742602.28066666657</c:v>
                </c:pt>
                <c:pt idx="37">
                  <c:v>676163.66733333305</c:v>
                </c:pt>
                <c:pt idx="38">
                  <c:v>763825.05399999954</c:v>
                </c:pt>
                <c:pt idx="39">
                  <c:v>1573051.720666666</c:v>
                </c:pt>
                <c:pt idx="40">
                  <c:v>2922518.0673333323</c:v>
                </c:pt>
                <c:pt idx="41">
                  <c:v>3915655.1179999989</c:v>
                </c:pt>
                <c:pt idx="42">
                  <c:v>5279641.7846666649</c:v>
                </c:pt>
                <c:pt idx="43">
                  <c:v>6271179.3313333318</c:v>
                </c:pt>
                <c:pt idx="44">
                  <c:v>6643014.1259999983</c:v>
                </c:pt>
                <c:pt idx="45">
                  <c:v>6819074.3606666652</c:v>
                </c:pt>
                <c:pt idx="46">
                  <c:v>6793688.0353333317</c:v>
                </c:pt>
                <c:pt idx="47">
                  <c:v>6730788.7499999981</c:v>
                </c:pt>
                <c:pt idx="48">
                  <c:v>6850694.4280041642</c:v>
                </c:pt>
                <c:pt idx="49">
                  <c:v>7026889.583545831</c:v>
                </c:pt>
                <c:pt idx="50">
                  <c:v>7516643.9187749978</c:v>
                </c:pt>
                <c:pt idx="51">
                  <c:v>9462746.2885666639</c:v>
                </c:pt>
                <c:pt idx="52">
                  <c:v>12521689.35323333</c:v>
                </c:pt>
                <c:pt idx="53">
                  <c:v>14842952.161049996</c:v>
                </c:pt>
                <c:pt idx="54">
                  <c:v>17917867.577716663</c:v>
                </c:pt>
                <c:pt idx="55">
                  <c:v>20237370.93113333</c:v>
                </c:pt>
                <c:pt idx="56">
                  <c:v>21327814.374537498</c:v>
                </c:pt>
                <c:pt idx="57">
                  <c:v>22001236.950379163</c:v>
                </c:pt>
                <c:pt idx="58">
                  <c:v>22251399.45865833</c:v>
                </c:pt>
                <c:pt idx="59">
                  <c:v>22431487.874999996</c:v>
                </c:pt>
                <c:pt idx="60">
                  <c:v>22967290.216991663</c:v>
                </c:pt>
                <c:pt idx="61">
                  <c:v>23606078.69590833</c:v>
                </c:pt>
                <c:pt idx="62">
                  <c:v>24796283.190449998</c:v>
                </c:pt>
                <c:pt idx="63">
                  <c:v>28538374.700866666</c:v>
                </c:pt>
                <c:pt idx="64">
                  <c:v>34247994.331533335</c:v>
                </c:pt>
                <c:pt idx="65">
                  <c:v>38650563.428900003</c:v>
                </c:pt>
                <c:pt idx="66">
                  <c:v>44377752.595566668</c:v>
                </c:pt>
                <c:pt idx="67">
                  <c:v>48778386.298733331</c:v>
                </c:pt>
                <c:pt idx="68">
                  <c:v>51042350.732924998</c:v>
                </c:pt>
                <c:pt idx="69">
                  <c:v>52558490.857241668</c:v>
                </c:pt>
                <c:pt idx="70">
                  <c:v>53319943.571683332</c:v>
                </c:pt>
                <c:pt idx="71">
                  <c:v>53963014.625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633-F444-8FFF-EB1094FB6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0790589"/>
        <c:axId val="32667323"/>
      </c:lineChart>
      <c:catAx>
        <c:axId val="8079058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2667323"/>
        <c:crosses val="autoZero"/>
        <c:auto val="1"/>
        <c:lblAlgn val="ctr"/>
        <c:lblOffset val="100"/>
        <c:noMultiLvlLbl val="0"/>
      </c:catAx>
      <c:valAx>
        <c:axId val="326673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079058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98</xdr:row>
      <xdr:rowOff>0</xdr:rowOff>
    </xdr:from>
    <xdr:to>
      <xdr:col>2</xdr:col>
      <xdr:colOff>513000</xdr:colOff>
      <xdr:row>111</xdr:row>
      <xdr:rowOff>42840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98</xdr:row>
      <xdr:rowOff>0</xdr:rowOff>
    </xdr:from>
    <xdr:to>
      <xdr:col>8</xdr:col>
      <xdr:colOff>2016000</xdr:colOff>
      <xdr:row>111</xdr:row>
      <xdr:rowOff>42840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50800</xdr:colOff>
      <xdr:row>0</xdr:row>
      <xdr:rowOff>50800</xdr:rowOff>
    </xdr:from>
    <xdr:to>
      <xdr:col>0</xdr:col>
      <xdr:colOff>1669720</xdr:colOff>
      <xdr:row>0</xdr:row>
      <xdr:rowOff>488620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50800" y="50800"/>
          <a:ext cx="1618920" cy="4378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0</xdr:rowOff>
    </xdr:from>
    <xdr:to>
      <xdr:col>8</xdr:col>
      <xdr:colOff>581760</xdr:colOff>
      <xdr:row>44</xdr:row>
      <xdr:rowOff>21960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25400</xdr:colOff>
      <xdr:row>0</xdr:row>
      <xdr:rowOff>76200</xdr:rowOff>
    </xdr:from>
    <xdr:to>
      <xdr:col>0</xdr:col>
      <xdr:colOff>1644320</xdr:colOff>
      <xdr:row>0</xdr:row>
      <xdr:rowOff>514020</xdr:rowOff>
    </xdr:to>
    <xdr:pic>
      <xdr:nvPicPr>
        <xdr:cNvPr id="5" name="Image 2" descr="Pictur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25400" y="76200"/>
          <a:ext cx="1618920" cy="4378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0</xdr:row>
      <xdr:rowOff>50800</xdr:rowOff>
    </xdr:from>
    <xdr:to>
      <xdr:col>0</xdr:col>
      <xdr:colOff>1669720</xdr:colOff>
      <xdr:row>0</xdr:row>
      <xdr:rowOff>488620</xdr:rowOff>
    </xdr:to>
    <xdr:pic>
      <xdr:nvPicPr>
        <xdr:cNvPr id="6" name="Image 1" descr="Pictur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0800" y="50800"/>
          <a:ext cx="1618920" cy="4378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0</xdr:row>
      <xdr:rowOff>63500</xdr:rowOff>
    </xdr:from>
    <xdr:to>
      <xdr:col>0</xdr:col>
      <xdr:colOff>1682420</xdr:colOff>
      <xdr:row>0</xdr:row>
      <xdr:rowOff>501320</xdr:rowOff>
    </xdr:to>
    <xdr:pic>
      <xdr:nvPicPr>
        <xdr:cNvPr id="7" name="Image 1" descr="Pictur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3500" y="63500"/>
          <a:ext cx="1618920" cy="4378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0</xdr:row>
      <xdr:rowOff>63500</xdr:rowOff>
    </xdr:from>
    <xdr:to>
      <xdr:col>0</xdr:col>
      <xdr:colOff>1669720</xdr:colOff>
      <xdr:row>0</xdr:row>
      <xdr:rowOff>501320</xdr:rowOff>
    </xdr:to>
    <xdr:pic>
      <xdr:nvPicPr>
        <xdr:cNvPr id="8" name="Image 1" descr="Picture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0800" y="63500"/>
          <a:ext cx="1618920" cy="4378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76200</xdr:rowOff>
    </xdr:from>
    <xdr:to>
      <xdr:col>1</xdr:col>
      <xdr:colOff>811020</xdr:colOff>
      <xdr:row>0</xdr:row>
      <xdr:rowOff>514020</xdr:rowOff>
    </xdr:to>
    <xdr:pic>
      <xdr:nvPicPr>
        <xdr:cNvPr id="9" name="Image 1" descr="Picture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100" y="76200"/>
          <a:ext cx="1687320" cy="4378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88900</xdr:rowOff>
    </xdr:from>
    <xdr:to>
      <xdr:col>0</xdr:col>
      <xdr:colOff>1695120</xdr:colOff>
      <xdr:row>0</xdr:row>
      <xdr:rowOff>526720</xdr:rowOff>
    </xdr:to>
    <xdr:pic>
      <xdr:nvPicPr>
        <xdr:cNvPr id="10" name="Image 1" descr="Picture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6200" y="88900"/>
          <a:ext cx="1618920" cy="4378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6"/>
  <sheetViews>
    <sheetView tabSelected="1" zoomScaleNormal="100" workbookViewId="0"/>
  </sheetViews>
  <sheetFormatPr baseColWidth="10" defaultColWidth="8.6640625" defaultRowHeight="15" x14ac:dyDescent="0.2"/>
  <cols>
    <col min="1" max="1" width="42" customWidth="1"/>
    <col min="2" max="7" width="12" customWidth="1"/>
    <col min="9" max="9" width="30" customWidth="1"/>
    <col min="10" max="10" width="14" customWidth="1"/>
  </cols>
  <sheetData>
    <row r="1" spans="1:10" ht="46" customHeight="1" x14ac:dyDescent="0.2">
      <c r="A1" s="2"/>
    </row>
    <row r="2" spans="1:10" ht="19" x14ac:dyDescent="0.2">
      <c r="A2" s="2" t="s">
        <v>0</v>
      </c>
    </row>
    <row r="3" spans="1:10" x14ac:dyDescent="0.2">
      <c r="A3" s="3" t="s">
        <v>1</v>
      </c>
    </row>
    <row r="4" spans="1:10" x14ac:dyDescent="0.2"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</row>
    <row r="5" spans="1:10" x14ac:dyDescent="0.2"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</row>
    <row r="6" spans="1:10" x14ac:dyDescent="0.2">
      <c r="I6" s="5" t="s">
        <v>14</v>
      </c>
      <c r="J6" s="6"/>
    </row>
    <row r="7" spans="1:10" x14ac:dyDescent="0.2">
      <c r="I7" s="7" t="s">
        <v>15</v>
      </c>
      <c r="J7" s="8">
        <v>900000</v>
      </c>
    </row>
    <row r="8" spans="1:10" x14ac:dyDescent="0.2">
      <c r="A8" s="9" t="s">
        <v>16</v>
      </c>
      <c r="B8" s="10"/>
      <c r="C8" s="10"/>
      <c r="D8" s="10"/>
      <c r="E8" s="10"/>
      <c r="F8" s="10"/>
      <c r="G8" s="10"/>
      <c r="I8" s="7" t="s">
        <v>17</v>
      </c>
      <c r="J8" s="8">
        <v>12000</v>
      </c>
    </row>
    <row r="9" spans="1:10" x14ac:dyDescent="0.2">
      <c r="A9" s="7" t="s">
        <v>18</v>
      </c>
      <c r="B9" s="11">
        <v>0</v>
      </c>
      <c r="C9" s="11">
        <v>125</v>
      </c>
      <c r="D9" s="11">
        <v>300</v>
      </c>
      <c r="E9" s="11">
        <v>650</v>
      </c>
      <c r="F9" s="11">
        <v>1250</v>
      </c>
      <c r="G9" s="11">
        <v>2000</v>
      </c>
      <c r="I9" s="7" t="s">
        <v>19</v>
      </c>
      <c r="J9" s="12">
        <v>0.02</v>
      </c>
    </row>
    <row r="10" spans="1:10" x14ac:dyDescent="0.2">
      <c r="A10" s="7" t="s">
        <v>20</v>
      </c>
      <c r="B10" s="11">
        <v>50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I10" s="7" t="s">
        <v>21</v>
      </c>
      <c r="J10" s="12">
        <v>1</v>
      </c>
    </row>
    <row r="11" spans="1:10" x14ac:dyDescent="0.2">
      <c r="A11" s="7" t="s">
        <v>22</v>
      </c>
      <c r="B11" s="13">
        <v>0</v>
      </c>
      <c r="C11" s="13">
        <v>0.15</v>
      </c>
      <c r="D11" s="13">
        <v>0.3</v>
      </c>
      <c r="E11" s="13">
        <v>0.35</v>
      </c>
      <c r="F11" s="13">
        <v>0.35</v>
      </c>
      <c r="G11" s="13">
        <v>0.35</v>
      </c>
      <c r="I11" s="7" t="s">
        <v>23</v>
      </c>
      <c r="J11" s="14">
        <v>150</v>
      </c>
    </row>
    <row r="12" spans="1:10" x14ac:dyDescent="0.2">
      <c r="A12" s="7" t="s">
        <v>24</v>
      </c>
      <c r="B12" s="13">
        <v>0</v>
      </c>
      <c r="C12" s="13">
        <v>0.08</v>
      </c>
      <c r="D12" s="13">
        <v>7.0000000000000007E-2</v>
      </c>
      <c r="E12" s="13">
        <v>0.06</v>
      </c>
      <c r="F12" s="13">
        <v>5.5E-2</v>
      </c>
      <c r="G12" s="13">
        <v>0.05</v>
      </c>
      <c r="I12" s="7" t="s">
        <v>25</v>
      </c>
      <c r="J12" s="15">
        <v>5</v>
      </c>
    </row>
    <row r="13" spans="1:10" x14ac:dyDescent="0.2">
      <c r="A13" s="7" t="s">
        <v>26</v>
      </c>
      <c r="B13" s="13">
        <v>0</v>
      </c>
      <c r="C13" s="13">
        <v>0.08</v>
      </c>
      <c r="D13" s="13">
        <v>0.1</v>
      </c>
      <c r="E13" s="13">
        <v>0.12</v>
      </c>
      <c r="F13" s="13">
        <v>0.13</v>
      </c>
      <c r="G13" s="13">
        <v>0.14000000000000001</v>
      </c>
      <c r="I13" s="7" t="s">
        <v>27</v>
      </c>
      <c r="J13" s="8">
        <v>6000</v>
      </c>
    </row>
    <row r="14" spans="1:10" x14ac:dyDescent="0.2">
      <c r="I14" s="7" t="s">
        <v>28</v>
      </c>
      <c r="J14" s="8">
        <v>1800</v>
      </c>
    </row>
    <row r="15" spans="1:10" x14ac:dyDescent="0.2">
      <c r="A15" s="9" t="s">
        <v>29</v>
      </c>
      <c r="B15" s="10"/>
      <c r="C15" s="10"/>
      <c r="D15" s="10"/>
      <c r="E15" s="10"/>
      <c r="F15" s="10"/>
      <c r="G15" s="10"/>
      <c r="I15" s="7" t="s">
        <v>30</v>
      </c>
      <c r="J15" s="8">
        <v>1200</v>
      </c>
    </row>
    <row r="16" spans="1:10" x14ac:dyDescent="0.2">
      <c r="A16" s="7" t="s">
        <v>31</v>
      </c>
      <c r="B16" s="16">
        <v>50000</v>
      </c>
      <c r="C16" s="16">
        <v>120000</v>
      </c>
      <c r="D16" s="16">
        <v>120000</v>
      </c>
      <c r="E16" s="16">
        <v>120000</v>
      </c>
      <c r="F16" s="16">
        <v>120000</v>
      </c>
      <c r="G16" s="16">
        <v>120000</v>
      </c>
      <c r="I16" s="7" t="s">
        <v>32</v>
      </c>
      <c r="J16" s="17">
        <v>20</v>
      </c>
    </row>
    <row r="17" spans="1:10" x14ac:dyDescent="0.2">
      <c r="A17" s="7" t="s">
        <v>33</v>
      </c>
      <c r="B17" s="16">
        <v>20000</v>
      </c>
      <c r="C17" s="16">
        <v>50000</v>
      </c>
      <c r="D17" s="16">
        <v>140000</v>
      </c>
      <c r="E17" s="16">
        <v>260000</v>
      </c>
      <c r="F17" s="16">
        <v>370000</v>
      </c>
      <c r="G17" s="16">
        <v>450000</v>
      </c>
      <c r="I17" s="7" t="s">
        <v>34</v>
      </c>
      <c r="J17" s="15">
        <v>2500</v>
      </c>
    </row>
    <row r="18" spans="1:10" x14ac:dyDescent="0.2">
      <c r="A18" s="7" t="s">
        <v>35</v>
      </c>
      <c r="B18" s="16">
        <f>Events!$O$31*0.5</f>
      </c>
      <c r="C18" s="16">
        <f>Events!$O$31*1</f>
      </c>
      <c r="D18" s="16">
        <f>Events!$O$31*1.1</f>
      </c>
      <c r="E18" s="16">
        <f>Events!$O$31*1.21</f>
      </c>
      <c r="F18" s="16">
        <f>Events!$O$31*1.331</f>
      </c>
      <c r="G18" s="16">
        <f>Events!$O$31*1.4641</f>
      </c>
      <c r="I18" s="7" t="inlineStr">
        <is>
          <t>Capital raised (investment)</t>
        </is>
      </c>
      <c r="J18" s="15">
        <v>1000000</v>
      </c>
    </row>
    <row r="19" spans="1:10" x14ac:dyDescent="0.2">
      <c r="A19" s="7" t="s">
        <v>36</v>
      </c>
      <c r="B19" s="16">
        <v>0</v>
      </c>
      <c r="C19" s="16">
        <v>0</v>
      </c>
      <c r="D19" s="16">
        <v>120000</v>
      </c>
      <c r="E19" s="16">
        <v>230000</v>
      </c>
      <c r="F19" s="16">
        <v>320000</v>
      </c>
      <c r="G19" s="16">
        <v>390000</v>
      </c>
    </row>
    <row r="20" spans="1:10" x14ac:dyDescent="0.2">
      <c r="A20" s="7" t="s">
        <v>37</v>
      </c>
      <c r="B20" s="16">
        <f>'Orgs &amp; Boards'!$D$17</f>
      </c>
      <c r="C20" s="16">
        <f>'Orgs &amp; Boards'!$D$17</f>
      </c>
      <c r="D20" s="16">
        <f>'Orgs &amp; Boards'!$D$17</f>
      </c>
      <c r="E20" s="16">
        <f>'Orgs &amp; Boards'!$D$17</f>
      </c>
      <c r="F20" s="16">
        <f>'Orgs &amp; Boards'!$D$17</f>
      </c>
      <c r="G20" s="16">
        <f>'Orgs &amp; Boards'!$D$17</f>
      </c>
    </row>
    <row r="21" spans="1:10" x14ac:dyDescent="0.2">
      <c r="A21" s="7" t="s">
        <v>38</v>
      </c>
      <c r="B21" s="16">
        <f>Events!$C$39</f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</row>
    <row r="22" spans="1:10" x14ac:dyDescent="0.2">
      <c r="A22" s="18" t="s">
        <v>39</v>
      </c>
      <c r="B22" s="19">
        <f t="shared" ref="B22:G22" si="0">SUM(B16:B21)</f>
        <v>239201</v>
      </c>
      <c r="C22" s="19">
        <f t="shared" si="0"/>
        <v>266077</v>
      </c>
      <c r="D22" s="19">
        <f t="shared" si="0"/>
        <v>485452</v>
      </c>
      <c r="E22" s="19">
        <f t="shared" si="0"/>
        <v>725765</v>
      </c>
      <c r="F22" s="19">
        <f t="shared" si="0"/>
        <v>937109</v>
      </c>
      <c r="G22" s="19">
        <f t="shared" si="0"/>
        <v>1099587</v>
      </c>
    </row>
    <row r="23" spans="1:10" x14ac:dyDescent="0.2">
      <c r="A23" s="20" t="s">
        <v>40</v>
      </c>
    </row>
    <row r="24" spans="1:10" x14ac:dyDescent="0.2">
      <c r="A24" s="9" t="s">
        <v>41</v>
      </c>
      <c r="B24" s="10"/>
      <c r="C24" s="10"/>
      <c r="D24" s="10"/>
      <c r="E24" s="10"/>
      <c r="F24" s="10"/>
      <c r="G24" s="10"/>
    </row>
    <row r="25" spans="1:10" x14ac:dyDescent="0.2">
      <c r="A25" s="7" t="s">
        <v>42</v>
      </c>
      <c r="B25" s="16">
        <v>150000</v>
      </c>
      <c r="C25" s="16">
        <v>320000</v>
      </c>
      <c r="D25" s="16">
        <v>580000</v>
      </c>
      <c r="E25" s="16">
        <v>880000</v>
      </c>
      <c r="F25" s="16">
        <v>1250000</v>
      </c>
      <c r="G25" s="16">
        <v>1650000</v>
      </c>
    </row>
    <row r="27" spans="1:10" x14ac:dyDescent="0.2">
      <c r="A27" s="9" t="s">
        <v>43</v>
      </c>
      <c r="B27" s="10"/>
      <c r="C27" s="10"/>
      <c r="D27" s="10"/>
      <c r="E27" s="10"/>
      <c r="F27" s="10"/>
      <c r="G27" s="10"/>
    </row>
    <row r="28" spans="1:10" x14ac:dyDescent="0.2">
      <c r="A28" s="7" t="s">
        <v>44</v>
      </c>
      <c r="B28" s="21">
        <v>0.42</v>
      </c>
      <c r="C28" s="21">
        <v>1</v>
      </c>
      <c r="D28" s="21">
        <v>1</v>
      </c>
      <c r="E28" s="21">
        <v>1</v>
      </c>
      <c r="F28" s="21">
        <v>1</v>
      </c>
      <c r="G28" s="21">
        <v>1</v>
      </c>
    </row>
    <row r="29" spans="1:10" x14ac:dyDescent="0.2">
      <c r="A29" s="7" t="s">
        <v>45</v>
      </c>
      <c r="B29" s="21">
        <v>0.83</v>
      </c>
      <c r="C29" s="21">
        <v>3</v>
      </c>
      <c r="D29" s="21">
        <v>5</v>
      </c>
      <c r="E29" s="21">
        <v>7</v>
      </c>
      <c r="F29" s="21">
        <v>9</v>
      </c>
      <c r="G29" s="21">
        <v>11</v>
      </c>
    </row>
    <row r="30" spans="1:10" x14ac:dyDescent="0.2">
      <c r="A30" s="7" t="s">
        <v>46</v>
      </c>
      <c r="B30" s="21">
        <v>0</v>
      </c>
      <c r="C30" s="21">
        <v>1</v>
      </c>
      <c r="D30" s="21">
        <v>3</v>
      </c>
      <c r="E30" s="21">
        <v>6</v>
      </c>
      <c r="F30" s="21">
        <v>9</v>
      </c>
      <c r="G30" s="21">
        <v>12</v>
      </c>
    </row>
    <row r="31" spans="1:10" x14ac:dyDescent="0.2">
      <c r="A31" s="7" t="s">
        <v>47</v>
      </c>
      <c r="B31" s="21">
        <v>0.25</v>
      </c>
      <c r="C31" s="21">
        <v>1</v>
      </c>
      <c r="D31" s="21">
        <v>2</v>
      </c>
      <c r="E31" s="21">
        <v>3</v>
      </c>
      <c r="F31" s="21">
        <v>4</v>
      </c>
      <c r="G31" s="21">
        <v>5</v>
      </c>
    </row>
    <row r="32" spans="1:10" x14ac:dyDescent="0.2">
      <c r="A32" s="7" t="s">
        <v>48</v>
      </c>
      <c r="B32" s="21">
        <v>0.25</v>
      </c>
      <c r="C32" s="21">
        <v>1</v>
      </c>
      <c r="D32" s="21">
        <v>2</v>
      </c>
      <c r="E32" s="21">
        <v>3</v>
      </c>
      <c r="F32" s="21">
        <v>4</v>
      </c>
      <c r="G32" s="21">
        <v>5</v>
      </c>
    </row>
    <row r="33" spans="1:7" x14ac:dyDescent="0.2">
      <c r="A33" s="7" t="s">
        <v>49</v>
      </c>
      <c r="B33" s="21">
        <v>0</v>
      </c>
      <c r="C33" s="21">
        <v>1</v>
      </c>
      <c r="D33" s="21">
        <v>2</v>
      </c>
      <c r="E33" s="21">
        <v>4</v>
      </c>
      <c r="F33" s="21">
        <v>6</v>
      </c>
      <c r="G33" s="21">
        <v>8</v>
      </c>
    </row>
    <row r="34" spans="1:7" x14ac:dyDescent="0.2">
      <c r="A34" s="7" t="s">
        <v>50</v>
      </c>
      <c r="B34" s="21">
        <v>0</v>
      </c>
      <c r="C34" s="21">
        <v>0.57999999999999996</v>
      </c>
      <c r="D34" s="21">
        <v>2</v>
      </c>
      <c r="E34" s="21">
        <v>3</v>
      </c>
      <c r="F34" s="21">
        <v>4</v>
      </c>
      <c r="G34" s="21">
        <v>5</v>
      </c>
    </row>
    <row r="35" spans="1:7" x14ac:dyDescent="0.2">
      <c r="A35" s="18" t="s">
        <v>51</v>
      </c>
      <c r="B35" s="22">
        <f t="shared" ref="B35:G35" si="1">SUM(B28:B34)</f>
        <v>1.75</v>
      </c>
      <c r="C35" s="22">
        <f t="shared" si="1"/>
        <v>8.58</v>
      </c>
      <c r="D35" s="22">
        <f t="shared" si="1"/>
        <v>17</v>
      </c>
      <c r="E35" s="22">
        <f t="shared" si="1"/>
        <v>27</v>
      </c>
      <c r="F35" s="22">
        <f t="shared" si="1"/>
        <v>37</v>
      </c>
      <c r="G35" s="22">
        <f t="shared" si="1"/>
        <v>47</v>
      </c>
    </row>
    <row r="36" spans="1:7" x14ac:dyDescent="0.2">
      <c r="A36" s="9" t="s">
        <v>52</v>
      </c>
      <c r="B36" s="10"/>
      <c r="C36" s="10"/>
      <c r="D36" s="10"/>
      <c r="E36" s="10"/>
      <c r="F36" s="10"/>
      <c r="G36" s="10"/>
    </row>
    <row r="37" spans="1:7" x14ac:dyDescent="0.2">
      <c r="A37" s="7" t="s">
        <v>44</v>
      </c>
      <c r="B37" s="16">
        <v>150000</v>
      </c>
      <c r="C37" s="16">
        <v>150000</v>
      </c>
      <c r="D37" s="16">
        <v>175000</v>
      </c>
      <c r="E37" s="16">
        <v>180000</v>
      </c>
      <c r="F37" s="16">
        <v>185000</v>
      </c>
      <c r="G37" s="16">
        <v>190000</v>
      </c>
    </row>
    <row r="38" spans="1:7" x14ac:dyDescent="0.2">
      <c r="A38" s="7" t="s">
        <v>45</v>
      </c>
      <c r="B38" s="16">
        <v>70000</v>
      </c>
      <c r="C38" s="16">
        <v>70000</v>
      </c>
      <c r="D38" s="16">
        <v>140000</v>
      </c>
      <c r="E38" s="16">
        <v>145000</v>
      </c>
      <c r="F38" s="16">
        <v>150000</v>
      </c>
      <c r="G38" s="16">
        <v>155000</v>
      </c>
    </row>
    <row r="39" spans="1:7" x14ac:dyDescent="0.2">
      <c r="A39" s="7" t="s">
        <v>46</v>
      </c>
      <c r="B39" s="16">
        <v>60000</v>
      </c>
      <c r="C39" s="16">
        <v>60000</v>
      </c>
      <c r="D39" s="16">
        <v>65000</v>
      </c>
      <c r="E39" s="16">
        <v>70000</v>
      </c>
      <c r="F39" s="16">
        <v>72000</v>
      </c>
      <c r="G39" s="16">
        <v>74000</v>
      </c>
    </row>
    <row r="40" spans="1:7" x14ac:dyDescent="0.2">
      <c r="A40" s="7" t="s">
        <v>47</v>
      </c>
      <c r="B40" s="16">
        <v>70000</v>
      </c>
      <c r="C40" s="16">
        <v>70000</v>
      </c>
      <c r="D40" s="16">
        <v>105000</v>
      </c>
      <c r="E40" s="16">
        <v>110000</v>
      </c>
      <c r="F40" s="16">
        <v>115000</v>
      </c>
      <c r="G40" s="16">
        <v>120000</v>
      </c>
    </row>
    <row r="41" spans="1:7" x14ac:dyDescent="0.2">
      <c r="A41" s="7" t="s">
        <v>48</v>
      </c>
      <c r="B41" s="16">
        <v>70000</v>
      </c>
      <c r="C41" s="16">
        <v>70000</v>
      </c>
      <c r="D41" s="16">
        <v>105000</v>
      </c>
      <c r="E41" s="16">
        <v>110000</v>
      </c>
      <c r="F41" s="16">
        <v>115000</v>
      </c>
      <c r="G41" s="16">
        <v>120000</v>
      </c>
    </row>
    <row r="42" spans="1:7" x14ac:dyDescent="0.2">
      <c r="A42" s="7" t="s">
        <v>49</v>
      </c>
      <c r="B42" s="16">
        <v>60000</v>
      </c>
      <c r="C42" s="16">
        <v>60000</v>
      </c>
      <c r="D42" s="16">
        <v>70000</v>
      </c>
      <c r="E42" s="16">
        <v>72000</v>
      </c>
      <c r="F42" s="16">
        <v>74000</v>
      </c>
      <c r="G42" s="16">
        <v>76000</v>
      </c>
    </row>
    <row r="43" spans="1:7" x14ac:dyDescent="0.2">
      <c r="A43" s="7" t="s">
        <v>50</v>
      </c>
      <c r="B43" s="16">
        <v>70000</v>
      </c>
      <c r="C43" s="16">
        <v>70000</v>
      </c>
      <c r="D43" s="16">
        <v>95000</v>
      </c>
      <c r="E43" s="16">
        <v>100000</v>
      </c>
      <c r="F43" s="16">
        <v>105000</v>
      </c>
      <c r="G43" s="16">
        <v>110000</v>
      </c>
    </row>
    <row r="44" spans="1:7" x14ac:dyDescent="0.2">
      <c r="A44" s="9" t="s">
        <v>53</v>
      </c>
      <c r="B44" s="10"/>
      <c r="C44" s="10"/>
      <c r="D44" s="10"/>
      <c r="E44" s="10"/>
      <c r="F44" s="10"/>
      <c r="G44" s="10"/>
    </row>
    <row r="45" spans="1:7" x14ac:dyDescent="0.2">
      <c r="A45" s="7" t="s">
        <v>44</v>
      </c>
      <c r="B45" s="23">
        <f t="shared" ref="B45:G51" si="2">B28*B37</f>
        <v>63000</v>
      </c>
      <c r="C45" s="23">
        <f t="shared" si="2"/>
        <v>150000</v>
      </c>
      <c r="D45" s="23">
        <f t="shared" si="2"/>
        <v>175000</v>
      </c>
      <c r="E45" s="23">
        <f t="shared" si="2"/>
        <v>180000</v>
      </c>
      <c r="F45" s="23">
        <f t="shared" si="2"/>
        <v>185000</v>
      </c>
      <c r="G45" s="23">
        <f t="shared" si="2"/>
        <v>190000</v>
      </c>
    </row>
    <row r="46" spans="1:7" x14ac:dyDescent="0.2">
      <c r="A46" s="7" t="s">
        <v>45</v>
      </c>
      <c r="B46" s="23">
        <f t="shared" si="2"/>
        <v>58100</v>
      </c>
      <c r="C46" s="23">
        <f t="shared" si="2"/>
        <v>210000</v>
      </c>
      <c r="D46" s="23">
        <f t="shared" si="2"/>
        <v>700000</v>
      </c>
      <c r="E46" s="23">
        <f t="shared" si="2"/>
        <v>1015000</v>
      </c>
      <c r="F46" s="23">
        <f t="shared" si="2"/>
        <v>1350000</v>
      </c>
      <c r="G46" s="23">
        <f t="shared" si="2"/>
        <v>1705000</v>
      </c>
    </row>
    <row r="47" spans="1:7" x14ac:dyDescent="0.2">
      <c r="A47" s="7" t="s">
        <v>46</v>
      </c>
      <c r="B47" s="23">
        <f t="shared" si="2"/>
        <v>0</v>
      </c>
      <c r="C47" s="23">
        <f t="shared" si="2"/>
        <v>60000</v>
      </c>
      <c r="D47" s="23">
        <f t="shared" si="2"/>
        <v>195000</v>
      </c>
      <c r="E47" s="23">
        <f t="shared" si="2"/>
        <v>420000</v>
      </c>
      <c r="F47" s="23">
        <f t="shared" si="2"/>
        <v>648000</v>
      </c>
      <c r="G47" s="23">
        <f t="shared" si="2"/>
        <v>888000</v>
      </c>
    </row>
    <row r="48" spans="1:7" x14ac:dyDescent="0.2">
      <c r="A48" s="7" t="s">
        <v>47</v>
      </c>
      <c r="B48" s="23">
        <f t="shared" si="2"/>
        <v>17500</v>
      </c>
      <c r="C48" s="23">
        <f t="shared" si="2"/>
        <v>70000</v>
      </c>
      <c r="D48" s="23">
        <f t="shared" si="2"/>
        <v>210000</v>
      </c>
      <c r="E48" s="23">
        <f t="shared" si="2"/>
        <v>330000</v>
      </c>
      <c r="F48" s="23">
        <f t="shared" si="2"/>
        <v>460000</v>
      </c>
      <c r="G48" s="23">
        <f t="shared" si="2"/>
        <v>600000</v>
      </c>
    </row>
    <row r="49" spans="1:7" x14ac:dyDescent="0.2">
      <c r="A49" s="7" t="s">
        <v>48</v>
      </c>
      <c r="B49" s="23">
        <f t="shared" si="2"/>
        <v>17500</v>
      </c>
      <c r="C49" s="23">
        <f t="shared" si="2"/>
        <v>70000</v>
      </c>
      <c r="D49" s="23">
        <f t="shared" si="2"/>
        <v>210000</v>
      </c>
      <c r="E49" s="23">
        <f t="shared" si="2"/>
        <v>330000</v>
      </c>
      <c r="F49" s="23">
        <f t="shared" si="2"/>
        <v>460000</v>
      </c>
      <c r="G49" s="23">
        <f t="shared" si="2"/>
        <v>600000</v>
      </c>
    </row>
    <row r="50" spans="1:7" x14ac:dyDescent="0.2">
      <c r="A50" s="7" t="s">
        <v>49</v>
      </c>
      <c r="B50" s="23">
        <f t="shared" si="2"/>
        <v>0</v>
      </c>
      <c r="C50" s="23">
        <f t="shared" si="2"/>
        <v>60000</v>
      </c>
      <c r="D50" s="23">
        <f t="shared" si="2"/>
        <v>140000</v>
      </c>
      <c r="E50" s="23">
        <f t="shared" si="2"/>
        <v>288000</v>
      </c>
      <c r="F50" s="23">
        <f t="shared" si="2"/>
        <v>444000</v>
      </c>
      <c r="G50" s="23">
        <f t="shared" si="2"/>
        <v>608000</v>
      </c>
    </row>
    <row r="51" spans="1:7" x14ac:dyDescent="0.2">
      <c r="A51" s="7" t="s">
        <v>50</v>
      </c>
      <c r="B51" s="23">
        <f t="shared" si="2"/>
        <v>0</v>
      </c>
      <c r="C51" s="23">
        <f t="shared" si="2"/>
        <v>40600</v>
      </c>
      <c r="D51" s="23">
        <f t="shared" si="2"/>
        <v>190000</v>
      </c>
      <c r="E51" s="23">
        <f t="shared" si="2"/>
        <v>300000</v>
      </c>
      <c r="F51" s="23">
        <f t="shared" si="2"/>
        <v>420000</v>
      </c>
      <c r="G51" s="23">
        <f t="shared" si="2"/>
        <v>550000</v>
      </c>
    </row>
    <row r="52" spans="1:7" x14ac:dyDescent="0.2">
      <c r="A52" s="18" t="s">
        <v>54</v>
      </c>
      <c r="B52" s="19">
        <f t="shared" ref="B52:G52" si="3">SUM(B45:B51)</f>
        <v>156100</v>
      </c>
      <c r="C52" s="19">
        <f t="shared" si="3"/>
        <v>660600</v>
      </c>
      <c r="D52" s="19">
        <f t="shared" si="3"/>
        <v>1820000</v>
      </c>
      <c r="E52" s="19">
        <f t="shared" si="3"/>
        <v>2863000</v>
      </c>
      <c r="F52" s="19">
        <f t="shared" si="3"/>
        <v>3967000</v>
      </c>
      <c r="G52" s="19">
        <f t="shared" si="3"/>
        <v>5141000</v>
      </c>
    </row>
    <row r="53" spans="1:7" x14ac:dyDescent="0.2">
      <c r="A53" s="7" t="s">
        <v>55</v>
      </c>
      <c r="B53" s="13">
        <v>0.1</v>
      </c>
      <c r="C53" s="13">
        <v>0.1</v>
      </c>
      <c r="D53" s="13">
        <v>0.28000000000000003</v>
      </c>
      <c r="E53" s="13">
        <v>0.28000000000000003</v>
      </c>
      <c r="F53" s="13">
        <v>0.28000000000000003</v>
      </c>
      <c r="G53" s="13">
        <v>0.28000000000000003</v>
      </c>
    </row>
    <row r="54" spans="1:7" x14ac:dyDescent="0.2">
      <c r="A54" s="7" t="s">
        <v>56</v>
      </c>
      <c r="B54" s="23">
        <f t="shared" ref="B54:G54" si="4">B52*B53</f>
        <v>15610</v>
      </c>
      <c r="C54" s="23">
        <f t="shared" si="4"/>
        <v>66060</v>
      </c>
      <c r="D54" s="23">
        <f t="shared" si="4"/>
        <v>509600.00000000006</v>
      </c>
      <c r="E54" s="23">
        <f t="shared" si="4"/>
        <v>801640.00000000012</v>
      </c>
      <c r="F54" s="23">
        <f t="shared" si="4"/>
        <v>1110760</v>
      </c>
      <c r="G54" s="23">
        <f t="shared" si="4"/>
        <v>1439480.0000000002</v>
      </c>
    </row>
    <row r="55" spans="1:7" x14ac:dyDescent="0.2">
      <c r="A55" s="18" t="s">
        <v>57</v>
      </c>
      <c r="B55" s="19">
        <f t="shared" ref="B55:G55" si="5">B52+B54</f>
        <v>171710</v>
      </c>
      <c r="C55" s="19">
        <f t="shared" si="5"/>
        <v>726660</v>
      </c>
      <c r="D55" s="19">
        <f t="shared" si="5"/>
        <v>2329600</v>
      </c>
      <c r="E55" s="19">
        <f t="shared" si="5"/>
        <v>3664640</v>
      </c>
      <c r="F55" s="19">
        <f t="shared" si="5"/>
        <v>5077760</v>
      </c>
      <c r="G55" s="19">
        <f t="shared" si="5"/>
        <v>6580480</v>
      </c>
    </row>
    <row r="56" spans="1:7" x14ac:dyDescent="0.2">
      <c r="A56" s="20" t="s">
        <v>58</v>
      </c>
    </row>
    <row r="58" spans="1:7" x14ac:dyDescent="0.2">
      <c r="A58" s="9" t="s">
        <v>59</v>
      </c>
      <c r="B58" s="10"/>
      <c r="C58" s="10"/>
      <c r="D58" s="10"/>
      <c r="E58" s="10"/>
      <c r="F58" s="10"/>
      <c r="G58" s="10"/>
    </row>
    <row r="59" spans="1:7" x14ac:dyDescent="0.2">
      <c r="A59" s="7" t="s">
        <v>60</v>
      </c>
      <c r="B59" s="24">
        <v>0</v>
      </c>
      <c r="C59" s="24">
        <f>B9+B10</f>
        <v>50</v>
      </c>
      <c r="D59" s="24">
        <f>C9+C10</f>
        <v>125</v>
      </c>
      <c r="E59" s="24">
        <f>D9+D10</f>
        <v>300</v>
      </c>
      <c r="F59" s="24">
        <f>E9+E10</f>
        <v>650</v>
      </c>
      <c r="G59" s="24">
        <f>F9+F10</f>
        <v>1250</v>
      </c>
    </row>
    <row r="60" spans="1:7" x14ac:dyDescent="0.2">
      <c r="A60" s="7" t="s">
        <v>61</v>
      </c>
      <c r="B60" s="24">
        <f t="shared" ref="B60:G60" si="6">-B59*B12</f>
        <v>0</v>
      </c>
      <c r="C60" s="24">
        <f t="shared" si="6"/>
        <v>-4</v>
      </c>
      <c r="D60" s="24">
        <f t="shared" si="6"/>
        <v>-8.75</v>
      </c>
      <c r="E60" s="24">
        <f t="shared" si="6"/>
        <v>-18</v>
      </c>
      <c r="F60" s="24">
        <f t="shared" si="6"/>
        <v>-35.75</v>
      </c>
      <c r="G60" s="24">
        <f t="shared" si="6"/>
        <v>-62.5</v>
      </c>
    </row>
    <row r="61" spans="1:7" x14ac:dyDescent="0.2">
      <c r="A61" s="7" t="s">
        <v>62</v>
      </c>
      <c r="B61" s="24">
        <f t="shared" ref="B61:G61" si="7">B9-B59-B60</f>
        <v>0</v>
      </c>
      <c r="C61" s="24">
        <f t="shared" si="7"/>
        <v>79</v>
      </c>
      <c r="D61" s="24">
        <f t="shared" si="7"/>
        <v>183.75</v>
      </c>
      <c r="E61" s="24">
        <f t="shared" si="7"/>
        <v>368</v>
      </c>
      <c r="F61" s="24">
        <f t="shared" si="7"/>
        <v>635.75</v>
      </c>
      <c r="G61" s="24">
        <f t="shared" si="7"/>
        <v>812.5</v>
      </c>
    </row>
    <row r="62" spans="1:7" x14ac:dyDescent="0.2">
      <c r="A62" s="7" t="s">
        <v>63</v>
      </c>
      <c r="B62" s="25">
        <f t="shared" ref="B62:G62" si="8">B59+B11*B61</f>
        <v>0</v>
      </c>
      <c r="C62" s="25">
        <f t="shared" si="8"/>
        <v>61.85</v>
      </c>
      <c r="D62" s="25">
        <f t="shared" si="8"/>
        <v>180.125</v>
      </c>
      <c r="E62" s="25">
        <f t="shared" si="8"/>
        <v>428.79999999999995</v>
      </c>
      <c r="F62" s="25">
        <f t="shared" si="8"/>
        <v>872.51250000000005</v>
      </c>
      <c r="G62" s="25">
        <f t="shared" si="8"/>
        <v>1534.375</v>
      </c>
    </row>
    <row r="63" spans="1:7" x14ac:dyDescent="0.2">
      <c r="A63" s="7" t="s">
        <v>64</v>
      </c>
      <c r="B63" s="23">
        <f t="shared" ref="B63:G63" si="9">B62*$J$8</f>
        <v>0</v>
      </c>
      <c r="C63" s="23">
        <f t="shared" si="9"/>
        <v>742200</v>
      </c>
      <c r="D63" s="23">
        <f t="shared" si="9"/>
        <v>2161500</v>
      </c>
      <c r="E63" s="23">
        <f t="shared" si="9"/>
        <v>5145599.9999999991</v>
      </c>
      <c r="F63" s="23">
        <f t="shared" si="9"/>
        <v>10470150</v>
      </c>
      <c r="G63" s="23">
        <f t="shared" si="9"/>
        <v>18412500</v>
      </c>
    </row>
    <row r="64" spans="1:7" x14ac:dyDescent="0.2">
      <c r="A64" s="7" t="s">
        <v>65</v>
      </c>
      <c r="B64" s="23">
        <f t="shared" ref="B64:G64" si="10">B62*$J$7*$J$9*$J$10</f>
        <v>0</v>
      </c>
      <c r="C64" s="23">
        <f t="shared" si="10"/>
        <v>1113300</v>
      </c>
      <c r="D64" s="23">
        <f t="shared" si="10"/>
        <v>3242250</v>
      </c>
      <c r="E64" s="23">
        <f t="shared" si="10"/>
        <v>7718399.9999999991</v>
      </c>
      <c r="F64" s="23">
        <f t="shared" si="10"/>
        <v>15705225</v>
      </c>
      <c r="G64" s="23">
        <f t="shared" si="10"/>
        <v>27618750</v>
      </c>
    </row>
    <row r="65" spans="1:7" x14ac:dyDescent="0.2">
      <c r="A65" s="18" t="s">
        <v>66</v>
      </c>
      <c r="B65" s="19">
        <f t="shared" ref="B65:G65" si="11">B63+B64</f>
        <v>0</v>
      </c>
      <c r="C65" s="19">
        <f t="shared" si="11"/>
        <v>1855500</v>
      </c>
      <c r="D65" s="19">
        <f t="shared" si="11"/>
        <v>5403750</v>
      </c>
      <c r="E65" s="19">
        <f t="shared" si="11"/>
        <v>12863999.999999998</v>
      </c>
      <c r="F65" s="19">
        <f t="shared" si="11"/>
        <v>26175375</v>
      </c>
      <c r="G65" s="19">
        <f t="shared" si="11"/>
        <v>46031250</v>
      </c>
    </row>
    <row r="67" spans="1:7" x14ac:dyDescent="0.2">
      <c r="A67" s="9" t="s">
        <v>67</v>
      </c>
      <c r="B67" s="10"/>
      <c r="C67" s="10"/>
      <c r="D67" s="10"/>
      <c r="E67" s="10"/>
      <c r="F67" s="10"/>
      <c r="G67" s="10"/>
    </row>
    <row r="68" spans="1:7" x14ac:dyDescent="0.2">
      <c r="A68" s="7" t="s">
        <v>68</v>
      </c>
      <c r="B68" s="23">
        <f t="shared" ref="B68:G68" si="12">-B62*$J$11*$J$12</f>
        <v>0</v>
      </c>
      <c r="C68" s="23">
        <f t="shared" si="12"/>
        <v>-46387.5</v>
      </c>
      <c r="D68" s="23">
        <f t="shared" si="12"/>
        <v>-135093.75</v>
      </c>
      <c r="E68" s="23">
        <f t="shared" si="12"/>
        <v>-321599.99999999994</v>
      </c>
      <c r="F68" s="23">
        <f t="shared" si="12"/>
        <v>-654384.375</v>
      </c>
      <c r="G68" s="23">
        <f t="shared" si="12"/>
        <v>-1150781.25</v>
      </c>
    </row>
    <row r="69" spans="1:7" x14ac:dyDescent="0.2">
      <c r="A69" s="7" t="s">
        <v>69</v>
      </c>
      <c r="B69" s="23">
        <f t="shared" ref="B69:G69" si="13">-B62*$J$14</f>
        <v>0</v>
      </c>
      <c r="C69" s="23">
        <f t="shared" si="13"/>
        <v>-111330</v>
      </c>
      <c r="D69" s="23">
        <f t="shared" si="13"/>
        <v>-324225</v>
      </c>
      <c r="E69" s="23">
        <f t="shared" si="13"/>
        <v>-771839.99999999988</v>
      </c>
      <c r="F69" s="23">
        <f t="shared" si="13"/>
        <v>-1570522.5</v>
      </c>
      <c r="G69" s="23">
        <f t="shared" si="13"/>
        <v>-2761875</v>
      </c>
    </row>
    <row r="70" spans="1:7" x14ac:dyDescent="0.2">
      <c r="A70" s="7" t="s">
        <v>70</v>
      </c>
      <c r="B70" s="23">
        <f t="shared" ref="B70:G70" si="14">SUM(B68:B69)</f>
        <v>0</v>
      </c>
      <c r="C70" s="23">
        <f t="shared" si="14"/>
        <v>-157717.5</v>
      </c>
      <c r="D70" s="23">
        <f t="shared" si="14"/>
        <v>-459318.75</v>
      </c>
      <c r="E70" s="23">
        <f t="shared" si="14"/>
        <v>-1093439.9999999998</v>
      </c>
      <c r="F70" s="23">
        <f t="shared" si="14"/>
        <v>-2224906.875</v>
      </c>
      <c r="G70" s="23">
        <f t="shared" si="14"/>
        <v>-3912656.25</v>
      </c>
    </row>
    <row r="71" spans="1:7" x14ac:dyDescent="0.2">
      <c r="A71" s="18" t="s">
        <v>71</v>
      </c>
      <c r="B71" s="19">
        <f t="shared" ref="B71:G71" si="15">B65+B70</f>
        <v>0</v>
      </c>
      <c r="C71" s="19">
        <f t="shared" si="15"/>
        <v>1697782.5</v>
      </c>
      <c r="D71" s="19">
        <f t="shared" si="15"/>
        <v>4944431.25</v>
      </c>
      <c r="E71" s="19">
        <f t="shared" si="15"/>
        <v>11770559.999999998</v>
      </c>
      <c r="F71" s="19">
        <f t="shared" si="15"/>
        <v>23950468.125</v>
      </c>
      <c r="G71" s="19">
        <f t="shared" si="15"/>
        <v>42118593.75</v>
      </c>
    </row>
    <row r="72" spans="1:7" x14ac:dyDescent="0.2">
      <c r="A72" s="7" t="s">
        <v>72</v>
      </c>
      <c r="B72" s="26">
        <f t="shared" ref="B72:G72" si="16">IF(B65=0,0,B71/B65)</f>
        <v>0</v>
      </c>
      <c r="C72" s="26">
        <f t="shared" si="16"/>
        <v>0.91500000000000004</v>
      </c>
      <c r="D72" s="26">
        <f t="shared" si="16"/>
        <v>0.91500000000000004</v>
      </c>
      <c r="E72" s="26">
        <f t="shared" si="16"/>
        <v>0.91500000000000004</v>
      </c>
      <c r="F72" s="26">
        <f t="shared" si="16"/>
        <v>0.91500000000000004</v>
      </c>
      <c r="G72" s="26">
        <f t="shared" si="16"/>
        <v>0.91500000000000004</v>
      </c>
    </row>
    <row r="74" spans="1:7" x14ac:dyDescent="0.2">
      <c r="A74" s="9" t="s">
        <v>73</v>
      </c>
      <c r="B74" s="10"/>
      <c r="C74" s="10"/>
      <c r="D74" s="10"/>
      <c r="E74" s="10"/>
      <c r="F74" s="10"/>
      <c r="G74" s="10"/>
    </row>
    <row r="75" spans="1:7" x14ac:dyDescent="0.2">
      <c r="A75" s="7" t="s">
        <v>74</v>
      </c>
      <c r="B75" s="23">
        <f t="shared" ref="B75:G75" si="17">-B55</f>
        <v>-171710</v>
      </c>
      <c r="C75" s="23">
        <f t="shared" si="17"/>
        <v>-726660</v>
      </c>
      <c r="D75" s="23">
        <f t="shared" si="17"/>
        <v>-2329600</v>
      </c>
      <c r="E75" s="23">
        <f t="shared" si="17"/>
        <v>-3664640</v>
      </c>
      <c r="F75" s="23">
        <f t="shared" si="17"/>
        <v>-5077760</v>
      </c>
      <c r="G75" s="23">
        <f t="shared" si="17"/>
        <v>-6580480</v>
      </c>
    </row>
    <row r="76" spans="1:7" x14ac:dyDescent="0.2">
      <c r="A76" s="7" t="s">
        <v>75</v>
      </c>
      <c r="B76" s="23">
        <f t="shared" ref="B76:G76" si="18">-B35*$J$13</f>
        <v>-10500</v>
      </c>
      <c r="C76" s="23">
        <f t="shared" si="18"/>
        <v>-51480</v>
      </c>
      <c r="D76" s="23">
        <f t="shared" si="18"/>
        <v>-102000</v>
      </c>
      <c r="E76" s="23">
        <f t="shared" si="18"/>
        <v>-162000</v>
      </c>
      <c r="F76" s="23">
        <f t="shared" si="18"/>
        <v>-222000</v>
      </c>
      <c r="G76" s="23">
        <f t="shared" si="18"/>
        <v>-282000</v>
      </c>
    </row>
    <row r="77" spans="1:7" x14ac:dyDescent="0.2">
      <c r="A77" s="7" t="s">
        <v>76</v>
      </c>
      <c r="B77" s="23">
        <f t="shared" ref="B77:G77" si="19">-(B61+B10)*$J$15</f>
        <v>-60000</v>
      </c>
      <c r="C77" s="23">
        <f t="shared" si="19"/>
        <v>-94800</v>
      </c>
      <c r="D77" s="23">
        <f t="shared" si="19"/>
        <v>-220500</v>
      </c>
      <c r="E77" s="23">
        <f t="shared" si="19"/>
        <v>-441600</v>
      </c>
      <c r="F77" s="23">
        <f t="shared" si="19"/>
        <v>-762900</v>
      </c>
      <c r="G77" s="23">
        <f t="shared" si="19"/>
        <v>-975000</v>
      </c>
    </row>
    <row r="78" spans="1:7" x14ac:dyDescent="0.2">
      <c r="A78" s="7" t="s">
        <v>77</v>
      </c>
      <c r="B78" s="23">
        <f t="shared" ref="B78:G78" si="20">-B22</f>
        <v>-239201</v>
      </c>
      <c r="C78" s="23">
        <f t="shared" si="20"/>
        <v>-266077</v>
      </c>
      <c r="D78" s="23">
        <f t="shared" si="20"/>
        <v>-485452</v>
      </c>
      <c r="E78" s="23">
        <f t="shared" si="20"/>
        <v>-725765</v>
      </c>
      <c r="F78" s="23">
        <f t="shared" si="20"/>
        <v>-937109</v>
      </c>
      <c r="G78" s="23">
        <f t="shared" si="20"/>
        <v>-1099587</v>
      </c>
    </row>
    <row r="79" spans="1:7" x14ac:dyDescent="0.2">
      <c r="A79" s="7" t="s">
        <v>78</v>
      </c>
      <c r="B79" s="23">
        <f t="shared" ref="B79:G79" si="21">-B25</f>
        <v>-150000</v>
      </c>
      <c r="C79" s="23">
        <f t="shared" si="21"/>
        <v>-320000</v>
      </c>
      <c r="D79" s="23">
        <f t="shared" si="21"/>
        <v>-580000</v>
      </c>
      <c r="E79" s="23">
        <f t="shared" si="21"/>
        <v>-880000</v>
      </c>
      <c r="F79" s="23">
        <f t="shared" si="21"/>
        <v>-1250000</v>
      </c>
      <c r="G79" s="23">
        <f t="shared" si="21"/>
        <v>-1650000</v>
      </c>
    </row>
    <row r="80" spans="1:7" x14ac:dyDescent="0.2">
      <c r="A80" s="18" t="s">
        <v>79</v>
      </c>
      <c r="B80" s="19">
        <f t="shared" ref="B80:G80" si="22">SUM(B75:B79)</f>
        <v>-631411</v>
      </c>
      <c r="C80" s="19">
        <f t="shared" si="22"/>
        <v>-1459017</v>
      </c>
      <c r="D80" s="19">
        <f t="shared" si="22"/>
        <v>-3717552</v>
      </c>
      <c r="E80" s="19">
        <f t="shared" si="22"/>
        <v>-5874005</v>
      </c>
      <c r="F80" s="19">
        <f t="shared" si="22"/>
        <v>-8249769</v>
      </c>
      <c r="G80" s="19">
        <f t="shared" si="22"/>
        <v>-10587067</v>
      </c>
    </row>
    <row r="82" spans="1:10" x14ac:dyDescent="0.2">
      <c r="A82" s="18" t="s">
        <v>80</v>
      </c>
      <c r="B82" s="19">
        <f t="shared" ref="B82:G82" si="23">B71+B80</f>
        <v>-631411</v>
      </c>
      <c r="C82" s="19">
        <f t="shared" si="23"/>
        <v>238765.5</v>
      </c>
      <c r="D82" s="19">
        <f t="shared" si="23"/>
        <v>1226879.25</v>
      </c>
      <c r="E82" s="19">
        <f t="shared" si="23"/>
        <v>5896554.9999999981</v>
      </c>
      <c r="F82" s="19">
        <f t="shared" si="23"/>
        <v>15700699.125</v>
      </c>
      <c r="G82" s="19">
        <f t="shared" si="23"/>
        <v>31531526.75</v>
      </c>
    </row>
    <row r="83" spans="1:10" x14ac:dyDescent="0.2">
      <c r="A83" s="7" t="s">
        <v>81</v>
      </c>
      <c r="B83" s="26">
        <f t="shared" ref="B83:G83" si="24">IF(B65=0,0,B82/B65)</f>
        <v>0</v>
      </c>
      <c r="C83" s="26">
        <f t="shared" si="24"/>
        <v>0.12867987065481001</v>
      </c>
      <c r="D83" s="26">
        <f t="shared" si="24"/>
        <v>0.22704219292158223</v>
      </c>
      <c r="E83" s="26">
        <f t="shared" si="24"/>
        <v>0.45837647699004969</v>
      </c>
      <c r="F83" s="26">
        <f t="shared" si="24"/>
        <v>0.5998270941677053</v>
      </c>
      <c r="G83" s="26">
        <f t="shared" si="24"/>
        <v>0.68500261778682958</v>
      </c>
    </row>
    <row r="84" spans="1:10" x14ac:dyDescent="0.2">
      <c r="A84" s="18" t="s">
        <v>82</v>
      </c>
      <c r="B84" s="19">
        <f>B82</f>
        <v>-631411</v>
      </c>
      <c r="C84" s="19">
        <f>B84+C82</f>
        <v>-392645.5</v>
      </c>
      <c r="D84" s="19">
        <f>C84+D82</f>
        <v>834233.75</v>
      </c>
      <c r="E84" s="19">
        <f>D84+E82</f>
        <v>6730788.7499999981</v>
      </c>
      <c r="F84" s="19">
        <f>E84+F82</f>
        <v>22431487.875</v>
      </c>
      <c r="G84" s="19">
        <f>F84+G82</f>
        <v>53963014.625</v>
      </c>
    </row>
    <row r="85" spans="1:10" x14ac:dyDescent="0.2">
      <c r="A85" s="18" t="inlineStr">
        <is>
          <t>Cash on hand (incl. investment)</t>
        </is>
      </c>
      <c r="B85" s="19">
        <f>$J$18+B84</f>
      </c>
      <c r="C85" s="19">
        <f>$J$18+C84</f>
      </c>
      <c r="D85" s="19">
        <f>$J$18+D84</f>
      </c>
      <c r="E85" s="19">
        <f>$J$18+E84</f>
      </c>
      <c r="F85" s="19">
        <f>$J$18+F84</f>
      </c>
      <c r="G85" s="19">
        <f>$J$18+G84</f>
      </c>
    </row>
    <row r="86" spans="1:10" x14ac:dyDescent="0.2">
      <c r="A86" s="9" t="s">
        <v>83</v>
      </c>
      <c r="B86" s="10"/>
      <c r="C86" s="10"/>
      <c r="D86" s="10"/>
      <c r="E86" s="10"/>
      <c r="F86" s="10"/>
      <c r="G86" s="10"/>
      <c r="I86" s="27" t="s">
        <v>84</v>
      </c>
      <c r="J86" s="28"/>
    </row>
    <row r="87" spans="1:10" x14ac:dyDescent="0.2">
      <c r="A87" s="18" t="s">
        <v>85</v>
      </c>
      <c r="B87" s="19">
        <f t="shared" ref="B87:G87" si="25">B9*($J$8+$J$7*$J$9*$J$10)</f>
        <v>0</v>
      </c>
      <c r="C87" s="19">
        <f t="shared" si="25"/>
        <v>3750000</v>
      </c>
      <c r="D87" s="19">
        <f t="shared" si="25"/>
        <v>9000000</v>
      </c>
      <c r="E87" s="19">
        <f t="shared" si="25"/>
        <v>19500000</v>
      </c>
      <c r="F87" s="19">
        <f t="shared" si="25"/>
        <v>37500000</v>
      </c>
      <c r="G87" s="19">
        <f t="shared" si="25"/>
        <v>60000000</v>
      </c>
      <c r="I87" s="7" t="s">
        <v>86</v>
      </c>
      <c r="J87" s="29">
        <f>G87</f>
        <v>60000000</v>
      </c>
    </row>
    <row r="88" spans="1:10" x14ac:dyDescent="0.2">
      <c r="A88" s="7" t="s">
        <v>87</v>
      </c>
      <c r="B88" s="26">
        <v>0</v>
      </c>
      <c r="C88" s="26">
        <f>IF(B87=0,0,C87/B87-1)</f>
        <v>0</v>
      </c>
      <c r="D88" s="26">
        <f>IF(C87=0,0,D87/C87-1)</f>
        <v>1.4</v>
      </c>
      <c r="E88" s="26">
        <f>IF(D87=0,0,E87/D87-1)</f>
        <v>1.1666666666666665</v>
      </c>
      <c r="F88" s="26">
        <f>IF(E87=0,0,F87/E87-1)</f>
        <v>0.92307692307692313</v>
      </c>
      <c r="G88" s="26">
        <f>IF(F87=0,0,G87/F87-1)</f>
        <v>0.60000000000000009</v>
      </c>
      <c r="I88" s="7" t="s">
        <v>88</v>
      </c>
      <c r="J88" s="29">
        <f>G87*$J$16</f>
        <v>1200000000</v>
      </c>
    </row>
    <row r="89" spans="1:10" x14ac:dyDescent="0.2">
      <c r="A89" s="7" t="s">
        <v>89</v>
      </c>
      <c r="B89" s="23">
        <f t="shared" ref="B89:G89" si="26">IF(B35=0,0,B65/B35)</f>
        <v>0</v>
      </c>
      <c r="C89" s="23">
        <f t="shared" si="26"/>
        <v>216258.74125874127</v>
      </c>
      <c r="D89" s="23">
        <f t="shared" si="26"/>
        <v>317867.64705882355</v>
      </c>
      <c r="E89" s="23">
        <f t="shared" si="26"/>
        <v>476444.44444444438</v>
      </c>
      <c r="F89" s="23">
        <f t="shared" si="26"/>
        <v>707442.56756756757</v>
      </c>
      <c r="G89" s="23">
        <f t="shared" si="26"/>
        <v>979388.29787234042</v>
      </c>
      <c r="I89" s="7" t="s">
        <v>90</v>
      </c>
      <c r="J89" s="29">
        <f>-MIN(B84:G84)</f>
        <v>631411</v>
      </c>
    </row>
    <row r="90" spans="1:10" x14ac:dyDescent="0.2">
      <c r="A90" s="7" t="s">
        <v>91</v>
      </c>
      <c r="B90" s="23">
        <f>B87</f>
        <v>0</v>
      </c>
      <c r="C90" s="23">
        <f>C87-B87</f>
        <v>3750000</v>
      </c>
      <c r="D90" s="23">
        <f>D87-C87</f>
        <v>5250000</v>
      </c>
      <c r="E90" s="23">
        <f>E87-D87</f>
        <v>10500000</v>
      </c>
      <c r="F90" s="23">
        <f>F87-E87</f>
        <v>18000000</v>
      </c>
      <c r="G90" s="23">
        <f>G87-F87</f>
        <v>22500000</v>
      </c>
      <c r="I90" s="7" t="s">
        <v>92</v>
      </c>
      <c r="J90" s="30" t="str">
        <f>INDEX(B5:G5,MATCH(1,INDEX((B84:G84&gt;0)*1,0),0))</f>
        <v>2028</v>
      </c>
    </row>
    <row r="91" spans="1:10" x14ac:dyDescent="0.2">
      <c r="A91" s="7" t="s">
        <v>93</v>
      </c>
      <c r="B91" s="26">
        <f t="shared" ref="B91:G91" si="27">(1-B12)*($J$8+$J$7*(1+B13)*$J$9)/($J$8+$J$7*$J$9)</f>
        <v>1</v>
      </c>
      <c r="C91" s="26">
        <f t="shared" si="27"/>
        <v>0.96416000000000013</v>
      </c>
      <c r="D91" s="26">
        <f t="shared" si="27"/>
        <v>0.98580000000000001</v>
      </c>
      <c r="E91" s="26">
        <f t="shared" si="27"/>
        <v>1.0076800000000001</v>
      </c>
      <c r="F91" s="26">
        <f t="shared" si="27"/>
        <v>1.0187099999999998</v>
      </c>
      <c r="G91" s="26">
        <f t="shared" si="27"/>
        <v>1.0298</v>
      </c>
      <c r="I91" s="7" t="s">
        <v>94</v>
      </c>
      <c r="J91" s="29">
        <f>G82</f>
        <v>31531526.75</v>
      </c>
    </row>
    <row r="92" spans="1:10" x14ac:dyDescent="0.2">
      <c r="A92" s="7" t="s">
        <v>95</v>
      </c>
      <c r="B92" s="31">
        <f t="shared" ref="B92:G92" si="28">IF(B90&lt;=0,0,MAX(0,-B82)/B90)</f>
        <v>0</v>
      </c>
      <c r="C92" s="31">
        <f t="shared" si="28"/>
        <v>0</v>
      </c>
      <c r="D92" s="31">
        <f t="shared" si="28"/>
        <v>0</v>
      </c>
      <c r="E92" s="31">
        <f t="shared" si="28"/>
        <v>0</v>
      </c>
      <c r="F92" s="31">
        <f t="shared" si="28"/>
        <v>0</v>
      </c>
      <c r="G92" s="31">
        <f t="shared" si="28"/>
        <v>0</v>
      </c>
      <c r="I92" s="7" t="s">
        <v>96</v>
      </c>
      <c r="J92" s="32">
        <f>G83</f>
        <v>0.68500261778682958</v>
      </c>
    </row>
    <row r="93" spans="1:10" x14ac:dyDescent="0.2">
      <c r="A93" s="7" t="s">
        <v>97</v>
      </c>
      <c r="B93" s="25">
        <f t="shared" ref="B93:G93" si="29">B61+B10</f>
        <v>50</v>
      </c>
      <c r="C93" s="25">
        <f t="shared" si="29"/>
        <v>79</v>
      </c>
      <c r="D93" s="25">
        <f t="shared" si="29"/>
        <v>183.75</v>
      </c>
      <c r="E93" s="25">
        <f t="shared" si="29"/>
        <v>368</v>
      </c>
      <c r="F93" s="25">
        <f t="shared" si="29"/>
        <v>635.75</v>
      </c>
      <c r="G93" s="25">
        <f t="shared" si="29"/>
        <v>812.5</v>
      </c>
      <c r="I93" s="7" t="s">
        <v>98</v>
      </c>
      <c r="J93" s="33">
        <f>G95</f>
        <v>2553.3378461538459</v>
      </c>
    </row>
    <row r="94" spans="1:10" x14ac:dyDescent="0.2">
      <c r="A94" s="7" t="s">
        <v>99</v>
      </c>
      <c r="B94" s="23">
        <f t="shared" ref="B94:G94" si="30">B22+(B61+B10)*$J$15</f>
        <v>299201</v>
      </c>
      <c r="C94" s="23">
        <f t="shared" si="30"/>
        <v>360877</v>
      </c>
      <c r="D94" s="23">
        <f t="shared" si="30"/>
        <v>705952</v>
      </c>
      <c r="E94" s="23">
        <f t="shared" si="30"/>
        <v>1167365</v>
      </c>
      <c r="F94" s="23">
        <f t="shared" si="30"/>
        <v>1700009</v>
      </c>
      <c r="G94" s="23">
        <f t="shared" si="30"/>
        <v>2074587</v>
      </c>
    </row>
    <row r="95" spans="1:10" x14ac:dyDescent="0.2">
      <c r="A95" s="18" t="s">
        <v>100</v>
      </c>
      <c r="B95" s="34">
        <f t="shared" ref="B95:G95" si="31">IF(B93&lt;=0,0,B94/B93)</f>
        <v>5984.02</v>
      </c>
      <c r="C95" s="34">
        <f t="shared" si="31"/>
        <v>4568.0632911392404</v>
      </c>
      <c r="D95" s="34">
        <f t="shared" si="31"/>
        <v>3841.9156462585033</v>
      </c>
      <c r="E95" s="34">
        <f t="shared" si="31"/>
        <v>3172.1875</v>
      </c>
      <c r="F95" s="34">
        <f t="shared" si="31"/>
        <v>2674.0212347620918</v>
      </c>
      <c r="G95" s="34">
        <f t="shared" si="31"/>
        <v>2553.3378461538459</v>
      </c>
    </row>
    <row r="96" spans="1:10" x14ac:dyDescent="0.2">
      <c r="A96" s="7" t="s">
        <v>101</v>
      </c>
      <c r="B96" s="26">
        <f t="shared" ref="B96:G96" si="32">IF(B65=0,0,B22/B65)</f>
        <v>0</v>
      </c>
      <c r="C96" s="26">
        <f t="shared" si="32"/>
        <v>0.14339908380490435</v>
      </c>
      <c r="D96" s="26">
        <f t="shared" si="32"/>
        <v>8.9836132315521622E-2</v>
      </c>
      <c r="E96" s="26">
        <f t="shared" si="32"/>
        <v>5.6418299129353242E-2</v>
      </c>
      <c r="F96" s="26">
        <f t="shared" si="32"/>
        <v>3.5801168082596715E-2</v>
      </c>
      <c r="G96" s="26">
        <f t="shared" si="32"/>
        <v>2.3887837067209775E-2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U28"/>
  <sheetViews>
    <sheetView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baseColWidth="10" defaultColWidth="8.6640625" defaultRowHeight="15" x14ac:dyDescent="0.2"/>
  <cols>
    <col min="1" max="1" width="30" customWidth="1"/>
    <col min="2" max="73" width="13.5" customWidth="1"/>
  </cols>
  <sheetData>
    <row r="1" spans="1:73" ht="46" customHeight="1" x14ac:dyDescent="0.2">
      <c r="A1" s="2"/>
    </row>
    <row r="2" spans="1:73" ht="19" x14ac:dyDescent="0.2">
      <c r="A2" s="2" t="s">
        <v>102</v>
      </c>
    </row>
    <row r="3" spans="1:73" x14ac:dyDescent="0.2">
      <c r="A3" s="3" t="s">
        <v>103</v>
      </c>
    </row>
    <row r="4" spans="1:73" x14ac:dyDescent="0.2">
      <c r="A4" s="18" t="s">
        <v>104</v>
      </c>
      <c r="B4" s="1" t="s">
        <v>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 t="s">
        <v>9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 t="s">
        <v>10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 t="s">
        <v>11</v>
      </c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 t="s">
        <v>12</v>
      </c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 t="s">
        <v>13</v>
      </c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</row>
    <row r="5" spans="1:73" x14ac:dyDescent="0.2">
      <c r="A5" s="18" t="s">
        <v>105</v>
      </c>
      <c r="B5" s="4" t="s">
        <v>106</v>
      </c>
      <c r="C5" s="4" t="s">
        <v>107</v>
      </c>
      <c r="D5" s="4" t="s">
        <v>108</v>
      </c>
      <c r="E5" s="4" t="s">
        <v>109</v>
      </c>
      <c r="F5" s="4" t="s">
        <v>110</v>
      </c>
      <c r="G5" s="4" t="s">
        <v>111</v>
      </c>
      <c r="H5" s="4" t="s">
        <v>112</v>
      </c>
      <c r="I5" s="4" t="s">
        <v>113</v>
      </c>
      <c r="J5" s="4" t="s">
        <v>114</v>
      </c>
      <c r="K5" s="4" t="s">
        <v>115</v>
      </c>
      <c r="L5" s="4" t="s">
        <v>116</v>
      </c>
      <c r="M5" s="4" t="s">
        <v>117</v>
      </c>
      <c r="N5" s="4" t="s">
        <v>106</v>
      </c>
      <c r="O5" s="4" t="s">
        <v>107</v>
      </c>
      <c r="P5" s="4" t="s">
        <v>108</v>
      </c>
      <c r="Q5" s="4" t="s">
        <v>109</v>
      </c>
      <c r="R5" s="4" t="s">
        <v>110</v>
      </c>
      <c r="S5" s="4" t="s">
        <v>111</v>
      </c>
      <c r="T5" s="4" t="s">
        <v>112</v>
      </c>
      <c r="U5" s="4" t="s">
        <v>113</v>
      </c>
      <c r="V5" s="4" t="s">
        <v>114</v>
      </c>
      <c r="W5" s="4" t="s">
        <v>115</v>
      </c>
      <c r="X5" s="4" t="s">
        <v>116</v>
      </c>
      <c r="Y5" s="4" t="s">
        <v>117</v>
      </c>
      <c r="Z5" s="4" t="s">
        <v>106</v>
      </c>
      <c r="AA5" s="4" t="s">
        <v>107</v>
      </c>
      <c r="AB5" s="4" t="s">
        <v>108</v>
      </c>
      <c r="AC5" s="4" t="s">
        <v>109</v>
      </c>
      <c r="AD5" s="4" t="s">
        <v>110</v>
      </c>
      <c r="AE5" s="4" t="s">
        <v>111</v>
      </c>
      <c r="AF5" s="4" t="s">
        <v>112</v>
      </c>
      <c r="AG5" s="4" t="s">
        <v>113</v>
      </c>
      <c r="AH5" s="4" t="s">
        <v>114</v>
      </c>
      <c r="AI5" s="4" t="s">
        <v>115</v>
      </c>
      <c r="AJ5" s="4" t="s">
        <v>116</v>
      </c>
      <c r="AK5" s="4" t="s">
        <v>117</v>
      </c>
      <c r="AL5" s="4" t="s">
        <v>106</v>
      </c>
      <c r="AM5" s="4" t="s">
        <v>107</v>
      </c>
      <c r="AN5" s="4" t="s">
        <v>108</v>
      </c>
      <c r="AO5" s="4" t="s">
        <v>109</v>
      </c>
      <c r="AP5" s="4" t="s">
        <v>110</v>
      </c>
      <c r="AQ5" s="4" t="s">
        <v>111</v>
      </c>
      <c r="AR5" s="4" t="s">
        <v>112</v>
      </c>
      <c r="AS5" s="4" t="s">
        <v>113</v>
      </c>
      <c r="AT5" s="4" t="s">
        <v>114</v>
      </c>
      <c r="AU5" s="4" t="s">
        <v>115</v>
      </c>
      <c r="AV5" s="4" t="s">
        <v>116</v>
      </c>
      <c r="AW5" s="4" t="s">
        <v>117</v>
      </c>
      <c r="AX5" s="4" t="s">
        <v>106</v>
      </c>
      <c r="AY5" s="4" t="s">
        <v>107</v>
      </c>
      <c r="AZ5" s="4" t="s">
        <v>108</v>
      </c>
      <c r="BA5" s="4" t="s">
        <v>109</v>
      </c>
      <c r="BB5" s="4" t="s">
        <v>110</v>
      </c>
      <c r="BC5" s="4" t="s">
        <v>111</v>
      </c>
      <c r="BD5" s="4" t="s">
        <v>112</v>
      </c>
      <c r="BE5" s="4" t="s">
        <v>113</v>
      </c>
      <c r="BF5" s="4" t="s">
        <v>114</v>
      </c>
      <c r="BG5" s="4" t="s">
        <v>115</v>
      </c>
      <c r="BH5" s="4" t="s">
        <v>116</v>
      </c>
      <c r="BI5" s="4" t="s">
        <v>117</v>
      </c>
      <c r="BJ5" s="4" t="s">
        <v>106</v>
      </c>
      <c r="BK5" s="4" t="s">
        <v>107</v>
      </c>
      <c r="BL5" s="4" t="s">
        <v>108</v>
      </c>
      <c r="BM5" s="4" t="s">
        <v>109</v>
      </c>
      <c r="BN5" s="4" t="s">
        <v>110</v>
      </c>
      <c r="BO5" s="4" t="s">
        <v>111</v>
      </c>
      <c r="BP5" s="4" t="s">
        <v>112</v>
      </c>
      <c r="BQ5" s="4" t="s">
        <v>113</v>
      </c>
      <c r="BR5" s="4" t="s">
        <v>114</v>
      </c>
      <c r="BS5" s="4" t="s">
        <v>115</v>
      </c>
      <c r="BT5" s="4" t="s">
        <v>116</v>
      </c>
      <c r="BU5" s="4" t="s">
        <v>117</v>
      </c>
    </row>
    <row r="6" spans="1:73" x14ac:dyDescent="0.2">
      <c r="A6" s="7" t="s">
        <v>118</v>
      </c>
      <c r="B6" s="35">
        <f>Seasonality!$B$3</f>
        <v>0.05</v>
      </c>
      <c r="C6" s="35">
        <f>Seasonality!$B$4</f>
        <v>0.1</v>
      </c>
      <c r="D6" s="35">
        <f>Seasonality!$B$5</f>
        <v>0.35</v>
      </c>
      <c r="E6" s="35">
        <f>Seasonality!$B$6</f>
        <v>1.5</v>
      </c>
      <c r="F6" s="35">
        <f>Seasonality!$B$7</f>
        <v>2.4</v>
      </c>
      <c r="G6" s="35">
        <f>Seasonality!$B$8</f>
        <v>1.8</v>
      </c>
      <c r="H6" s="35">
        <f>Seasonality!$B$9</f>
        <v>2.4</v>
      </c>
      <c r="I6" s="35">
        <f>Seasonality!$B$10</f>
        <v>1.8</v>
      </c>
      <c r="J6" s="35">
        <f>Seasonality!$B$11</f>
        <v>0.85</v>
      </c>
      <c r="K6" s="35">
        <f>Seasonality!$B$12</f>
        <v>0.5</v>
      </c>
      <c r="L6" s="35">
        <f>Seasonality!$B$13</f>
        <v>0.15</v>
      </c>
      <c r="M6" s="35">
        <f>Seasonality!$B$14</f>
        <v>0.1</v>
      </c>
      <c r="N6" s="35">
        <f>Seasonality!$B$3</f>
        <v>0.05</v>
      </c>
      <c r="O6" s="35">
        <f>Seasonality!$B$4</f>
        <v>0.1</v>
      </c>
      <c r="P6" s="35">
        <f>Seasonality!$B$5</f>
        <v>0.35</v>
      </c>
      <c r="Q6" s="35">
        <f>Seasonality!$B$6</f>
        <v>1.5</v>
      </c>
      <c r="R6" s="35">
        <f>Seasonality!$B$7</f>
        <v>2.4</v>
      </c>
      <c r="S6" s="35">
        <f>Seasonality!$B$8</f>
        <v>1.8</v>
      </c>
      <c r="T6" s="35">
        <f>Seasonality!$B$9</f>
        <v>2.4</v>
      </c>
      <c r="U6" s="35">
        <f>Seasonality!$B$10</f>
        <v>1.8</v>
      </c>
      <c r="V6" s="35">
        <f>Seasonality!$B$11</f>
        <v>0.85</v>
      </c>
      <c r="W6" s="35">
        <f>Seasonality!$B$12</f>
        <v>0.5</v>
      </c>
      <c r="X6" s="35">
        <f>Seasonality!$B$13</f>
        <v>0.15</v>
      </c>
      <c r="Y6" s="35">
        <f>Seasonality!$B$14</f>
        <v>0.1</v>
      </c>
      <c r="Z6" s="35">
        <f>Seasonality!$B$3</f>
        <v>0.05</v>
      </c>
      <c r="AA6" s="35">
        <f>Seasonality!$B$4</f>
        <v>0.1</v>
      </c>
      <c r="AB6" s="35">
        <f>Seasonality!$B$5</f>
        <v>0.35</v>
      </c>
      <c r="AC6" s="35">
        <f>Seasonality!$B$6</f>
        <v>1.5</v>
      </c>
      <c r="AD6" s="35">
        <f>Seasonality!$B$7</f>
        <v>2.4</v>
      </c>
      <c r="AE6" s="35">
        <f>Seasonality!$B$8</f>
        <v>1.8</v>
      </c>
      <c r="AF6" s="35">
        <f>Seasonality!$B$9</f>
        <v>2.4</v>
      </c>
      <c r="AG6" s="35">
        <f>Seasonality!$B$10</f>
        <v>1.8</v>
      </c>
      <c r="AH6" s="35">
        <f>Seasonality!$B$11</f>
        <v>0.85</v>
      </c>
      <c r="AI6" s="35">
        <f>Seasonality!$B$12</f>
        <v>0.5</v>
      </c>
      <c r="AJ6" s="35">
        <f>Seasonality!$B$13</f>
        <v>0.15</v>
      </c>
      <c r="AK6" s="35">
        <f>Seasonality!$B$14</f>
        <v>0.1</v>
      </c>
      <c r="AL6" s="35">
        <f>Seasonality!$B$3</f>
        <v>0.05</v>
      </c>
      <c r="AM6" s="35">
        <f>Seasonality!$B$4</f>
        <v>0.1</v>
      </c>
      <c r="AN6" s="35">
        <f>Seasonality!$B$5</f>
        <v>0.35</v>
      </c>
      <c r="AO6" s="35">
        <f>Seasonality!$B$6</f>
        <v>1.5</v>
      </c>
      <c r="AP6" s="35">
        <f>Seasonality!$B$7</f>
        <v>2.4</v>
      </c>
      <c r="AQ6" s="35">
        <f>Seasonality!$B$8</f>
        <v>1.8</v>
      </c>
      <c r="AR6" s="35">
        <f>Seasonality!$B$9</f>
        <v>2.4</v>
      </c>
      <c r="AS6" s="35">
        <f>Seasonality!$B$10</f>
        <v>1.8</v>
      </c>
      <c r="AT6" s="35">
        <f>Seasonality!$B$11</f>
        <v>0.85</v>
      </c>
      <c r="AU6" s="35">
        <f>Seasonality!$B$12</f>
        <v>0.5</v>
      </c>
      <c r="AV6" s="35">
        <f>Seasonality!$B$13</f>
        <v>0.15</v>
      </c>
      <c r="AW6" s="35">
        <f>Seasonality!$B$14</f>
        <v>0.1</v>
      </c>
      <c r="AX6" s="35">
        <f>Seasonality!$B$3</f>
        <v>0.05</v>
      </c>
      <c r="AY6" s="35">
        <f>Seasonality!$B$4</f>
        <v>0.1</v>
      </c>
      <c r="AZ6" s="35">
        <f>Seasonality!$B$5</f>
        <v>0.35</v>
      </c>
      <c r="BA6" s="35">
        <f>Seasonality!$B$6</f>
        <v>1.5</v>
      </c>
      <c r="BB6" s="35">
        <f>Seasonality!$B$7</f>
        <v>2.4</v>
      </c>
      <c r="BC6" s="35">
        <f>Seasonality!$B$8</f>
        <v>1.8</v>
      </c>
      <c r="BD6" s="35">
        <f>Seasonality!$B$9</f>
        <v>2.4</v>
      </c>
      <c r="BE6" s="35">
        <f>Seasonality!$B$10</f>
        <v>1.8</v>
      </c>
      <c r="BF6" s="35">
        <f>Seasonality!$B$11</f>
        <v>0.85</v>
      </c>
      <c r="BG6" s="35">
        <f>Seasonality!$B$12</f>
        <v>0.5</v>
      </c>
      <c r="BH6" s="35">
        <f>Seasonality!$B$13</f>
        <v>0.15</v>
      </c>
      <c r="BI6" s="35">
        <f>Seasonality!$B$14</f>
        <v>0.1</v>
      </c>
      <c r="BJ6" s="35">
        <f>Seasonality!$B$3</f>
        <v>0.05</v>
      </c>
      <c r="BK6" s="35">
        <f>Seasonality!$B$4</f>
        <v>0.1</v>
      </c>
      <c r="BL6" s="35">
        <f>Seasonality!$B$5</f>
        <v>0.35</v>
      </c>
      <c r="BM6" s="35">
        <f>Seasonality!$B$6</f>
        <v>1.5</v>
      </c>
      <c r="BN6" s="35">
        <f>Seasonality!$B$7</f>
        <v>2.4</v>
      </c>
      <c r="BO6" s="35">
        <f>Seasonality!$B$8</f>
        <v>1.8</v>
      </c>
      <c r="BP6" s="35">
        <f>Seasonality!$B$9</f>
        <v>2.4</v>
      </c>
      <c r="BQ6" s="35">
        <f>Seasonality!$B$10</f>
        <v>1.8</v>
      </c>
      <c r="BR6" s="35">
        <f>Seasonality!$B$11</f>
        <v>0.85</v>
      </c>
      <c r="BS6" s="35">
        <f>Seasonality!$B$12</f>
        <v>0.5</v>
      </c>
      <c r="BT6" s="35">
        <f>Seasonality!$B$13</f>
        <v>0.15</v>
      </c>
      <c r="BU6" s="35">
        <f>Seasonality!$B$14</f>
        <v>0.1</v>
      </c>
    </row>
    <row r="7" spans="1:73" x14ac:dyDescent="0.2">
      <c r="A7" s="7" t="s">
        <v>119</v>
      </c>
      <c r="B7" s="36">
        <v>0</v>
      </c>
      <c r="C7" s="36">
        <v>0</v>
      </c>
      <c r="D7" s="36">
        <v>0</v>
      </c>
      <c r="E7" s="36">
        <v>0</v>
      </c>
      <c r="F7" s="36">
        <v>0</v>
      </c>
      <c r="G7" s="36">
        <v>0</v>
      </c>
      <c r="H7" s="36">
        <v>0</v>
      </c>
      <c r="I7" s="36">
        <v>0</v>
      </c>
      <c r="J7" s="36">
        <v>0</v>
      </c>
      <c r="K7" s="36">
        <v>0</v>
      </c>
      <c r="L7" s="36">
        <v>0</v>
      </c>
      <c r="M7" s="36">
        <v>0</v>
      </c>
      <c r="N7" s="36">
        <f>Proforma!C62*Proforma!$J$11*Seasonality!$B$3/12</f>
        <v>38.65625</v>
      </c>
      <c r="O7" s="36">
        <f>Proforma!C62*Proforma!$J$11*Seasonality!$B$4/12</f>
        <v>77.3125</v>
      </c>
      <c r="P7" s="36">
        <f>Proforma!C62*Proforma!$J$11*Seasonality!$B$5/12</f>
        <v>270.59375</v>
      </c>
      <c r="Q7" s="36">
        <f>Proforma!C62*Proforma!$J$11*Seasonality!$B$6/12</f>
        <v>1159.6875</v>
      </c>
      <c r="R7" s="36">
        <f>Proforma!C62*Proforma!$J$11*Seasonality!$B$7/12</f>
        <v>1855.5</v>
      </c>
      <c r="S7" s="36">
        <f>Proforma!C62*Proforma!$J$11*Seasonality!$B$8/12</f>
        <v>1391.625</v>
      </c>
      <c r="T7" s="36">
        <f>Proforma!C62*Proforma!$J$11*Seasonality!$B$9/12</f>
        <v>1855.5</v>
      </c>
      <c r="U7" s="36">
        <f>Proforma!C62*Proforma!$J$11*Seasonality!$B$10/12</f>
        <v>1391.625</v>
      </c>
      <c r="V7" s="36">
        <f>Proforma!C62*Proforma!$J$11*Seasonality!$B$11/12</f>
        <v>657.15625</v>
      </c>
      <c r="W7" s="36">
        <f>Proforma!C62*Proforma!$J$11*Seasonality!$B$12/12</f>
        <v>386.5625</v>
      </c>
      <c r="X7" s="36">
        <f>Proforma!C62*Proforma!$J$11*Seasonality!$B$13/12</f>
        <v>115.96875</v>
      </c>
      <c r="Y7" s="36">
        <f>Proforma!C62*Proforma!$J$11*Seasonality!$B$14/12</f>
        <v>77.3125</v>
      </c>
      <c r="Z7" s="36">
        <f>Proforma!D62*Proforma!$J$11*Seasonality!$B$3/12</f>
        <v>112.578125</v>
      </c>
      <c r="AA7" s="36">
        <f>Proforma!D62*Proforma!$J$11*Seasonality!$B$4/12</f>
        <v>225.15625</v>
      </c>
      <c r="AB7" s="36">
        <f>Proforma!D62*Proforma!$J$11*Seasonality!$B$5/12</f>
        <v>788.046875</v>
      </c>
      <c r="AC7" s="36">
        <f>Proforma!D62*Proforma!$J$11*Seasonality!$B$6/12</f>
        <v>3377.34375</v>
      </c>
      <c r="AD7" s="36">
        <f>Proforma!D62*Proforma!$J$11*Seasonality!$B$7/12</f>
        <v>5403.75</v>
      </c>
      <c r="AE7" s="36">
        <f>Proforma!D62*Proforma!$J$11*Seasonality!$B$8/12</f>
        <v>4052.8125</v>
      </c>
      <c r="AF7" s="36">
        <f>Proforma!D62*Proforma!$J$11*Seasonality!$B$9/12</f>
        <v>5403.75</v>
      </c>
      <c r="AG7" s="36">
        <f>Proforma!D62*Proforma!$J$11*Seasonality!$B$10/12</f>
        <v>4052.8125</v>
      </c>
      <c r="AH7" s="36">
        <f>Proforma!D62*Proforma!$J$11*Seasonality!$B$11/12</f>
        <v>1913.828125</v>
      </c>
      <c r="AI7" s="36">
        <f>Proforma!D62*Proforma!$J$11*Seasonality!$B$12/12</f>
        <v>1125.78125</v>
      </c>
      <c r="AJ7" s="36">
        <f>Proforma!D62*Proforma!$J$11*Seasonality!$B$13/12</f>
        <v>337.734375</v>
      </c>
      <c r="AK7" s="36">
        <f>Proforma!D62*Proforma!$J$11*Seasonality!$B$14/12</f>
        <v>225.15625</v>
      </c>
      <c r="AL7" s="36">
        <f>Proforma!E62*Proforma!$J$11*Seasonality!$B$3/12</f>
        <v>268</v>
      </c>
      <c r="AM7" s="36">
        <f>Proforma!E62*Proforma!$J$11*Seasonality!$B$4/12</f>
        <v>536</v>
      </c>
      <c r="AN7" s="36">
        <f>Proforma!E62*Proforma!$J$11*Seasonality!$B$5/12</f>
        <v>1875.9999999999998</v>
      </c>
      <c r="AO7" s="36">
        <f>Proforma!E62*Proforma!$J$11*Seasonality!$B$6/12</f>
        <v>8039.9999999999991</v>
      </c>
      <c r="AP7" s="36">
        <f>Proforma!E62*Proforma!$J$11*Seasonality!$B$7/12</f>
        <v>12863.999999999998</v>
      </c>
      <c r="AQ7" s="36">
        <f>Proforma!E62*Proforma!$J$11*Seasonality!$B$8/12</f>
        <v>9647.9999999999982</v>
      </c>
      <c r="AR7" s="36">
        <f>Proforma!E62*Proforma!$J$11*Seasonality!$B$9/12</f>
        <v>12863.999999999998</v>
      </c>
      <c r="AS7" s="36">
        <f>Proforma!E62*Proforma!$J$11*Seasonality!$B$10/12</f>
        <v>9647.9999999999982</v>
      </c>
      <c r="AT7" s="36">
        <f>Proforma!E62*Proforma!$J$11*Seasonality!$B$11/12</f>
        <v>4555.9999999999991</v>
      </c>
      <c r="AU7" s="36">
        <f>Proforma!E62*Proforma!$J$11*Seasonality!$B$12/12</f>
        <v>2679.9999999999995</v>
      </c>
      <c r="AV7" s="36">
        <f>Proforma!E62*Proforma!$J$11*Seasonality!$B$13/12</f>
        <v>803.99999999999989</v>
      </c>
      <c r="AW7" s="36">
        <f>Proforma!E62*Proforma!$J$11*Seasonality!$B$14/12</f>
        <v>536</v>
      </c>
      <c r="AX7" s="36">
        <f>Proforma!F62*Proforma!$J$11*Seasonality!$B$3/12</f>
        <v>545.3203125</v>
      </c>
      <c r="AY7" s="36">
        <f>Proforma!F62*Proforma!$J$11*Seasonality!$B$4/12</f>
        <v>1090.640625</v>
      </c>
      <c r="AZ7" s="36">
        <f>Proforma!F62*Proforma!$J$11*Seasonality!$B$5/12</f>
        <v>3817.2421875</v>
      </c>
      <c r="BA7" s="36">
        <f>Proforma!F62*Proforma!$J$11*Seasonality!$B$6/12</f>
        <v>16359.609375</v>
      </c>
      <c r="BB7" s="36">
        <f>Proforma!F62*Proforma!$J$11*Seasonality!$B$7/12</f>
        <v>26175.375</v>
      </c>
      <c r="BC7" s="36">
        <f>Proforma!F62*Proforma!$J$11*Seasonality!$B$8/12</f>
        <v>19631.53125</v>
      </c>
      <c r="BD7" s="36">
        <f>Proforma!F62*Proforma!$J$11*Seasonality!$B$9/12</f>
        <v>26175.375</v>
      </c>
      <c r="BE7" s="36">
        <f>Proforma!F62*Proforma!$J$11*Seasonality!$B$10/12</f>
        <v>19631.53125</v>
      </c>
      <c r="BF7" s="36">
        <f>Proforma!F62*Proforma!$J$11*Seasonality!$B$11/12</f>
        <v>9270.4453125</v>
      </c>
      <c r="BG7" s="36">
        <f>Proforma!F62*Proforma!$J$11*Seasonality!$B$12/12</f>
        <v>5453.203125</v>
      </c>
      <c r="BH7" s="36">
        <f>Proforma!F62*Proforma!$J$11*Seasonality!$B$13/12</f>
        <v>1635.9609375</v>
      </c>
      <c r="BI7" s="36">
        <f>Proforma!F62*Proforma!$J$11*Seasonality!$B$14/12</f>
        <v>1090.640625</v>
      </c>
      <c r="BJ7" s="36">
        <f>Proforma!G62*Proforma!$J$11*Seasonality!$B$3/12</f>
        <v>958.984375</v>
      </c>
      <c r="BK7" s="36">
        <f>Proforma!G62*Proforma!$J$11*Seasonality!$B$4/12</f>
        <v>1917.96875</v>
      </c>
      <c r="BL7" s="36">
        <f>Proforma!G62*Proforma!$J$11*Seasonality!$B$5/12</f>
        <v>6712.890625</v>
      </c>
      <c r="BM7" s="36">
        <f>Proforma!G62*Proforma!$J$11*Seasonality!$B$6/12</f>
        <v>28769.53125</v>
      </c>
      <c r="BN7" s="36">
        <f>Proforma!G62*Proforma!$J$11*Seasonality!$B$7/12</f>
        <v>46031.25</v>
      </c>
      <c r="BO7" s="36">
        <f>Proforma!G62*Proforma!$J$11*Seasonality!$B$8/12</f>
        <v>34523.4375</v>
      </c>
      <c r="BP7" s="36">
        <f>Proforma!G62*Proforma!$J$11*Seasonality!$B$9/12</f>
        <v>46031.25</v>
      </c>
      <c r="BQ7" s="36">
        <f>Proforma!G62*Proforma!$J$11*Seasonality!$B$10/12</f>
        <v>34523.4375</v>
      </c>
      <c r="BR7" s="36">
        <f>Proforma!G62*Proforma!$J$11*Seasonality!$B$11/12</f>
        <v>16302.734375</v>
      </c>
      <c r="BS7" s="36">
        <f>Proforma!G62*Proforma!$J$11*Seasonality!$B$12/12</f>
        <v>9589.84375</v>
      </c>
      <c r="BT7" s="36">
        <f>Proforma!G62*Proforma!$J$11*Seasonality!$B$13/12</f>
        <v>2876.953125</v>
      </c>
      <c r="BU7" s="36">
        <f>Proforma!G62*Proforma!$J$11*Seasonality!$B$14/12</f>
        <v>1917.96875</v>
      </c>
    </row>
    <row r="9" spans="1:73" x14ac:dyDescent="0.2">
      <c r="A9" s="7" t="s">
        <v>64</v>
      </c>
      <c r="B9" s="37">
        <v>0</v>
      </c>
      <c r="C9" s="37">
        <v>0</v>
      </c>
      <c r="D9" s="37">
        <v>0</v>
      </c>
      <c r="E9" s="37">
        <v>0</v>
      </c>
      <c r="F9" s="37">
        <v>0</v>
      </c>
      <c r="G9" s="37">
        <v>0</v>
      </c>
      <c r="H9" s="37">
        <v>0</v>
      </c>
      <c r="I9" s="37">
        <v>0</v>
      </c>
      <c r="J9" s="37">
        <v>0</v>
      </c>
      <c r="K9" s="37">
        <v>0</v>
      </c>
      <c r="L9" s="37">
        <v>0</v>
      </c>
      <c r="M9" s="37">
        <v>0</v>
      </c>
      <c r="N9" s="37">
        <f>Proforma!C63/12</f>
        <v>61850</v>
      </c>
      <c r="O9" s="37">
        <f>Proforma!C63/12</f>
        <v>61850</v>
      </c>
      <c r="P9" s="37">
        <f>Proforma!C63/12</f>
        <v>61850</v>
      </c>
      <c r="Q9" s="37">
        <f>Proforma!C63/12</f>
        <v>61850</v>
      </c>
      <c r="R9" s="37">
        <f>Proforma!C63/12</f>
        <v>61850</v>
      </c>
      <c r="S9" s="37">
        <f>Proforma!C63/12</f>
        <v>61850</v>
      </c>
      <c r="T9" s="37">
        <f>Proforma!C63/12</f>
        <v>61850</v>
      </c>
      <c r="U9" s="37">
        <f>Proforma!C63/12</f>
        <v>61850</v>
      </c>
      <c r="V9" s="37">
        <f>Proforma!C63/12</f>
        <v>61850</v>
      </c>
      <c r="W9" s="37">
        <f>Proforma!C63/12</f>
        <v>61850</v>
      </c>
      <c r="X9" s="37">
        <f>Proforma!C63/12</f>
        <v>61850</v>
      </c>
      <c r="Y9" s="37">
        <f>Proforma!C63/12</f>
        <v>61850</v>
      </c>
      <c r="Z9" s="37">
        <f>Proforma!D63/12</f>
        <v>180125</v>
      </c>
      <c r="AA9" s="37">
        <f>Proforma!D63/12</f>
        <v>180125</v>
      </c>
      <c r="AB9" s="37">
        <f>Proforma!D63/12</f>
        <v>180125</v>
      </c>
      <c r="AC9" s="37">
        <f>Proforma!D63/12</f>
        <v>180125</v>
      </c>
      <c r="AD9" s="37">
        <f>Proforma!D63/12</f>
        <v>180125</v>
      </c>
      <c r="AE9" s="37">
        <f>Proforma!D63/12</f>
        <v>180125</v>
      </c>
      <c r="AF9" s="37">
        <f>Proforma!D63/12</f>
        <v>180125</v>
      </c>
      <c r="AG9" s="37">
        <f>Proforma!D63/12</f>
        <v>180125</v>
      </c>
      <c r="AH9" s="37">
        <f>Proforma!D63/12</f>
        <v>180125</v>
      </c>
      <c r="AI9" s="37">
        <f>Proforma!D63/12</f>
        <v>180125</v>
      </c>
      <c r="AJ9" s="37">
        <f>Proforma!D63/12</f>
        <v>180125</v>
      </c>
      <c r="AK9" s="37">
        <f>Proforma!D63/12</f>
        <v>180125</v>
      </c>
      <c r="AL9" s="37">
        <f>Proforma!E63/12</f>
        <v>428799.99999999994</v>
      </c>
      <c r="AM9" s="37">
        <f>Proforma!E63/12</f>
        <v>428799.99999999994</v>
      </c>
      <c r="AN9" s="37">
        <f>Proforma!E63/12</f>
        <v>428799.99999999994</v>
      </c>
      <c r="AO9" s="37">
        <f>Proforma!E63/12</f>
        <v>428799.99999999994</v>
      </c>
      <c r="AP9" s="37">
        <f>Proforma!E63/12</f>
        <v>428799.99999999994</v>
      </c>
      <c r="AQ9" s="37">
        <f>Proforma!E63/12</f>
        <v>428799.99999999994</v>
      </c>
      <c r="AR9" s="37">
        <f>Proforma!E63/12</f>
        <v>428799.99999999994</v>
      </c>
      <c r="AS9" s="37">
        <f>Proforma!E63/12</f>
        <v>428799.99999999994</v>
      </c>
      <c r="AT9" s="37">
        <f>Proforma!E63/12</f>
        <v>428799.99999999994</v>
      </c>
      <c r="AU9" s="37">
        <f>Proforma!E63/12</f>
        <v>428799.99999999994</v>
      </c>
      <c r="AV9" s="37">
        <f>Proforma!E63/12</f>
        <v>428799.99999999994</v>
      </c>
      <c r="AW9" s="37">
        <f>Proforma!E63/12</f>
        <v>428799.99999999994</v>
      </c>
      <c r="AX9" s="37">
        <f>Proforma!F63/12</f>
        <v>872512.5</v>
      </c>
      <c r="AY9" s="37">
        <f>Proforma!F63/12</f>
        <v>872512.5</v>
      </c>
      <c r="AZ9" s="37">
        <f>Proforma!F63/12</f>
        <v>872512.5</v>
      </c>
      <c r="BA9" s="37">
        <f>Proforma!F63/12</f>
        <v>872512.5</v>
      </c>
      <c r="BB9" s="37">
        <f>Proforma!F63/12</f>
        <v>872512.5</v>
      </c>
      <c r="BC9" s="37">
        <f>Proforma!F63/12</f>
        <v>872512.5</v>
      </c>
      <c r="BD9" s="37">
        <f>Proforma!F63/12</f>
        <v>872512.5</v>
      </c>
      <c r="BE9" s="37">
        <f>Proforma!F63/12</f>
        <v>872512.5</v>
      </c>
      <c r="BF9" s="37">
        <f>Proforma!F63/12</f>
        <v>872512.5</v>
      </c>
      <c r="BG9" s="37">
        <f>Proforma!F63/12</f>
        <v>872512.5</v>
      </c>
      <c r="BH9" s="37">
        <f>Proforma!F63/12</f>
        <v>872512.5</v>
      </c>
      <c r="BI9" s="37">
        <f>Proforma!F63/12</f>
        <v>872512.5</v>
      </c>
      <c r="BJ9" s="37">
        <f>Proforma!G63/12</f>
        <v>1534375</v>
      </c>
      <c r="BK9" s="37">
        <f>Proforma!G63/12</f>
        <v>1534375</v>
      </c>
      <c r="BL9" s="37">
        <f>Proforma!G63/12</f>
        <v>1534375</v>
      </c>
      <c r="BM9" s="37">
        <f>Proforma!G63/12</f>
        <v>1534375</v>
      </c>
      <c r="BN9" s="37">
        <f>Proforma!G63/12</f>
        <v>1534375</v>
      </c>
      <c r="BO9" s="37">
        <f>Proforma!G63/12</f>
        <v>1534375</v>
      </c>
      <c r="BP9" s="37">
        <f>Proforma!G63/12</f>
        <v>1534375</v>
      </c>
      <c r="BQ9" s="37">
        <f>Proforma!G63/12</f>
        <v>1534375</v>
      </c>
      <c r="BR9" s="37">
        <f>Proforma!G63/12</f>
        <v>1534375</v>
      </c>
      <c r="BS9" s="37">
        <f>Proforma!G63/12</f>
        <v>1534375</v>
      </c>
      <c r="BT9" s="37">
        <f>Proforma!G63/12</f>
        <v>1534375</v>
      </c>
      <c r="BU9" s="37">
        <f>Proforma!G63/12</f>
        <v>1534375</v>
      </c>
    </row>
    <row r="10" spans="1:73" x14ac:dyDescent="0.2">
      <c r="A10" s="7" t="s">
        <v>120</v>
      </c>
      <c r="B10" s="37">
        <v>0</v>
      </c>
      <c r="C10" s="37">
        <v>0</v>
      </c>
      <c r="D10" s="37">
        <v>0</v>
      </c>
      <c r="E10" s="37">
        <v>0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0</v>
      </c>
      <c r="N10" s="37">
        <f>Proforma!C64*Seasonality!$B$3/12</f>
        <v>4638.75</v>
      </c>
      <c r="O10" s="37">
        <f>Proforma!C64*Seasonality!$B$4/12</f>
        <v>9277.5</v>
      </c>
      <c r="P10" s="37">
        <f>Proforma!C64*Seasonality!$B$5/12</f>
        <v>32471.25</v>
      </c>
      <c r="Q10" s="37">
        <f>Proforma!C64*Seasonality!$B$6/12</f>
        <v>139162.5</v>
      </c>
      <c r="R10" s="37">
        <f>Proforma!C64*Seasonality!$B$7/12</f>
        <v>222660</v>
      </c>
      <c r="S10" s="37">
        <f>Proforma!C64*Seasonality!$B$8/12</f>
        <v>166995</v>
      </c>
      <c r="T10" s="37">
        <f>Proforma!C64*Seasonality!$B$9/12</f>
        <v>222660</v>
      </c>
      <c r="U10" s="37">
        <f>Proforma!C64*Seasonality!$B$10/12</f>
        <v>166995</v>
      </c>
      <c r="V10" s="37">
        <f>Proforma!C64*Seasonality!$B$11/12</f>
        <v>78858.75</v>
      </c>
      <c r="W10" s="37">
        <f>Proforma!C64*Seasonality!$B$12/12</f>
        <v>46387.5</v>
      </c>
      <c r="X10" s="37">
        <f>Proforma!C64*Seasonality!$B$13/12</f>
        <v>13916.25</v>
      </c>
      <c r="Y10" s="37">
        <f>Proforma!C64*Seasonality!$B$14/12</f>
        <v>9277.5</v>
      </c>
      <c r="Z10" s="37">
        <f>Proforma!D64*Seasonality!$B$3/12</f>
        <v>13509.375</v>
      </c>
      <c r="AA10" s="37">
        <f>Proforma!D64*Seasonality!$B$4/12</f>
        <v>27018.75</v>
      </c>
      <c r="AB10" s="37">
        <f>Proforma!D64*Seasonality!$B$5/12</f>
        <v>94565.625</v>
      </c>
      <c r="AC10" s="37">
        <f>Proforma!D64*Seasonality!$B$6/12</f>
        <v>405281.25</v>
      </c>
      <c r="AD10" s="37">
        <f>Proforma!D64*Seasonality!$B$7/12</f>
        <v>648450</v>
      </c>
      <c r="AE10" s="37">
        <f>Proforma!D64*Seasonality!$B$8/12</f>
        <v>486337.5</v>
      </c>
      <c r="AF10" s="37">
        <f>Proforma!D64*Seasonality!$B$9/12</f>
        <v>648450</v>
      </c>
      <c r="AG10" s="37">
        <f>Proforma!D64*Seasonality!$B$10/12</f>
        <v>486337.5</v>
      </c>
      <c r="AH10" s="37">
        <f>Proforma!D64*Seasonality!$B$11/12</f>
        <v>229659.375</v>
      </c>
      <c r="AI10" s="37">
        <f>Proforma!D64*Seasonality!$B$12/12</f>
        <v>135093.75</v>
      </c>
      <c r="AJ10" s="37">
        <f>Proforma!D64*Seasonality!$B$13/12</f>
        <v>40528.125</v>
      </c>
      <c r="AK10" s="37">
        <f>Proforma!D64*Seasonality!$B$14/12</f>
        <v>27018.75</v>
      </c>
      <c r="AL10" s="37">
        <f>Proforma!E64*Seasonality!$B$3/12</f>
        <v>32160</v>
      </c>
      <c r="AM10" s="37">
        <f>Proforma!E64*Seasonality!$B$4/12</f>
        <v>64320</v>
      </c>
      <c r="AN10" s="37">
        <f>Proforma!E64*Seasonality!$B$5/12</f>
        <v>225119.99999999997</v>
      </c>
      <c r="AO10" s="37">
        <f>Proforma!E64*Seasonality!$B$6/12</f>
        <v>964799.99999999988</v>
      </c>
      <c r="AP10" s="37">
        <f>Proforma!E64*Seasonality!$B$7/12</f>
        <v>1543679.9999999998</v>
      </c>
      <c r="AQ10" s="37">
        <f>Proforma!E64*Seasonality!$B$8/12</f>
        <v>1157759.9999999998</v>
      </c>
      <c r="AR10" s="37">
        <f>Proforma!E64*Seasonality!$B$9/12</f>
        <v>1543679.9999999998</v>
      </c>
      <c r="AS10" s="37">
        <f>Proforma!E64*Seasonality!$B$10/12</f>
        <v>1157759.9999999998</v>
      </c>
      <c r="AT10" s="37">
        <f>Proforma!E64*Seasonality!$B$11/12</f>
        <v>546719.99999999988</v>
      </c>
      <c r="AU10" s="37">
        <f>Proforma!E64*Seasonality!$B$12/12</f>
        <v>321599.99999999994</v>
      </c>
      <c r="AV10" s="37">
        <f>Proforma!E64*Seasonality!$B$13/12</f>
        <v>96479.999999999985</v>
      </c>
      <c r="AW10" s="37">
        <f>Proforma!E64*Seasonality!$B$14/12</f>
        <v>64320</v>
      </c>
      <c r="AX10" s="37">
        <f>Proforma!F64*Seasonality!$B$3/12</f>
        <v>65438.4375</v>
      </c>
      <c r="AY10" s="37">
        <f>Proforma!F64*Seasonality!$B$4/12</f>
        <v>130876.875</v>
      </c>
      <c r="AZ10" s="37">
        <f>Proforma!F64*Seasonality!$B$5/12</f>
        <v>458069.0625</v>
      </c>
      <c r="BA10" s="37">
        <f>Proforma!F64*Seasonality!$B$6/12</f>
        <v>1963153.125</v>
      </c>
      <c r="BB10" s="37">
        <f>Proforma!F64*Seasonality!$B$7/12</f>
        <v>3141045</v>
      </c>
      <c r="BC10" s="37">
        <f>Proforma!F64*Seasonality!$B$8/12</f>
        <v>2355783.75</v>
      </c>
      <c r="BD10" s="37">
        <f>Proforma!F64*Seasonality!$B$9/12</f>
        <v>3141045</v>
      </c>
      <c r="BE10" s="37">
        <f>Proforma!F64*Seasonality!$B$10/12</f>
        <v>2355783.75</v>
      </c>
      <c r="BF10" s="37">
        <f>Proforma!F64*Seasonality!$B$11/12</f>
        <v>1112453.4375</v>
      </c>
      <c r="BG10" s="37">
        <f>Proforma!F64*Seasonality!$B$12/12</f>
        <v>654384.375</v>
      </c>
      <c r="BH10" s="37">
        <f>Proforma!F64*Seasonality!$B$13/12</f>
        <v>196315.3125</v>
      </c>
      <c r="BI10" s="37">
        <f>Proforma!F64*Seasonality!$B$14/12</f>
        <v>130876.875</v>
      </c>
      <c r="BJ10" s="37">
        <f>Proforma!G64*Seasonality!$B$3/12</f>
        <v>115078.125</v>
      </c>
      <c r="BK10" s="37">
        <f>Proforma!G64*Seasonality!$B$4/12</f>
        <v>230156.25</v>
      </c>
      <c r="BL10" s="37">
        <f>Proforma!G64*Seasonality!$B$5/12</f>
        <v>805546.875</v>
      </c>
      <c r="BM10" s="37">
        <f>Proforma!G64*Seasonality!$B$6/12</f>
        <v>3452343.75</v>
      </c>
      <c r="BN10" s="37">
        <f>Proforma!G64*Seasonality!$B$7/12</f>
        <v>5523750</v>
      </c>
      <c r="BO10" s="37">
        <f>Proforma!G64*Seasonality!$B$8/12</f>
        <v>4142812.5</v>
      </c>
      <c r="BP10" s="37">
        <f>Proforma!G64*Seasonality!$B$9/12</f>
        <v>5523750</v>
      </c>
      <c r="BQ10" s="37">
        <f>Proforma!G64*Seasonality!$B$10/12</f>
        <v>4142812.5</v>
      </c>
      <c r="BR10" s="37">
        <f>Proforma!G64*Seasonality!$B$11/12</f>
        <v>1956328.125</v>
      </c>
      <c r="BS10" s="37">
        <f>Proforma!G64*Seasonality!$B$12/12</f>
        <v>1150781.25</v>
      </c>
      <c r="BT10" s="37">
        <f>Proforma!G64*Seasonality!$B$13/12</f>
        <v>345234.375</v>
      </c>
      <c r="BU10" s="37">
        <f>Proforma!G64*Seasonality!$B$14/12</f>
        <v>230156.25</v>
      </c>
    </row>
    <row r="11" spans="1:73" x14ac:dyDescent="0.2">
      <c r="A11" s="18" t="s">
        <v>121</v>
      </c>
      <c r="B11" s="19">
        <f t="shared" ref="B11:AG11" si="0">B9+B10</f>
        <v>0</v>
      </c>
      <c r="C11" s="19">
        <f t="shared" si="0"/>
        <v>0</v>
      </c>
      <c r="D11" s="19">
        <f t="shared" si="0"/>
        <v>0</v>
      </c>
      <c r="E11" s="19">
        <f t="shared" si="0"/>
        <v>0</v>
      </c>
      <c r="F11" s="19">
        <f t="shared" si="0"/>
        <v>0</v>
      </c>
      <c r="G11" s="19">
        <f t="shared" si="0"/>
        <v>0</v>
      </c>
      <c r="H11" s="19">
        <f t="shared" si="0"/>
        <v>0</v>
      </c>
      <c r="I11" s="19">
        <f t="shared" si="0"/>
        <v>0</v>
      </c>
      <c r="J11" s="19">
        <f t="shared" si="0"/>
        <v>0</v>
      </c>
      <c r="K11" s="19">
        <f t="shared" si="0"/>
        <v>0</v>
      </c>
      <c r="L11" s="19">
        <f t="shared" si="0"/>
        <v>0</v>
      </c>
      <c r="M11" s="19">
        <f t="shared" si="0"/>
        <v>0</v>
      </c>
      <c r="N11" s="19">
        <f t="shared" si="0"/>
        <v>66488.75</v>
      </c>
      <c r="O11" s="19">
        <f t="shared" si="0"/>
        <v>71127.5</v>
      </c>
      <c r="P11" s="19">
        <f t="shared" si="0"/>
        <v>94321.25</v>
      </c>
      <c r="Q11" s="19">
        <f t="shared" si="0"/>
        <v>201012.5</v>
      </c>
      <c r="R11" s="19">
        <f t="shared" si="0"/>
        <v>284510</v>
      </c>
      <c r="S11" s="19">
        <f t="shared" si="0"/>
        <v>228845</v>
      </c>
      <c r="T11" s="19">
        <f t="shared" si="0"/>
        <v>284510</v>
      </c>
      <c r="U11" s="19">
        <f t="shared" si="0"/>
        <v>228845</v>
      </c>
      <c r="V11" s="19">
        <f t="shared" si="0"/>
        <v>140708.75</v>
      </c>
      <c r="W11" s="19">
        <f t="shared" si="0"/>
        <v>108237.5</v>
      </c>
      <c r="X11" s="19">
        <f t="shared" si="0"/>
        <v>75766.25</v>
      </c>
      <c r="Y11" s="19">
        <f t="shared" si="0"/>
        <v>71127.5</v>
      </c>
      <c r="Z11" s="19">
        <f t="shared" si="0"/>
        <v>193634.375</v>
      </c>
      <c r="AA11" s="19">
        <f t="shared" si="0"/>
        <v>207143.75</v>
      </c>
      <c r="AB11" s="19">
        <f t="shared" si="0"/>
        <v>274690.625</v>
      </c>
      <c r="AC11" s="19">
        <f t="shared" si="0"/>
        <v>585406.25</v>
      </c>
      <c r="AD11" s="19">
        <f t="shared" si="0"/>
        <v>828575</v>
      </c>
      <c r="AE11" s="19">
        <f t="shared" si="0"/>
        <v>666462.5</v>
      </c>
      <c r="AF11" s="19">
        <f t="shared" si="0"/>
        <v>828575</v>
      </c>
      <c r="AG11" s="19">
        <f t="shared" si="0"/>
        <v>666462.5</v>
      </c>
      <c r="AH11" s="19">
        <f t="shared" ref="AH11:BM11" si="1">AH9+AH10</f>
        <v>409784.375</v>
      </c>
      <c r="AI11" s="19">
        <f t="shared" si="1"/>
        <v>315218.75</v>
      </c>
      <c r="AJ11" s="19">
        <f t="shared" si="1"/>
        <v>220653.125</v>
      </c>
      <c r="AK11" s="19">
        <f t="shared" si="1"/>
        <v>207143.75</v>
      </c>
      <c r="AL11" s="19">
        <f t="shared" si="1"/>
        <v>460959.99999999994</v>
      </c>
      <c r="AM11" s="19">
        <f t="shared" si="1"/>
        <v>493119.99999999994</v>
      </c>
      <c r="AN11" s="19">
        <f t="shared" si="1"/>
        <v>653919.99999999988</v>
      </c>
      <c r="AO11" s="19">
        <f t="shared" si="1"/>
        <v>1393599.9999999998</v>
      </c>
      <c r="AP11" s="19">
        <f t="shared" si="1"/>
        <v>1972479.9999999998</v>
      </c>
      <c r="AQ11" s="19">
        <f t="shared" si="1"/>
        <v>1586559.9999999998</v>
      </c>
      <c r="AR11" s="19">
        <f t="shared" si="1"/>
        <v>1972479.9999999998</v>
      </c>
      <c r="AS11" s="19">
        <f t="shared" si="1"/>
        <v>1586559.9999999998</v>
      </c>
      <c r="AT11" s="19">
        <f t="shared" si="1"/>
        <v>975519.99999999977</v>
      </c>
      <c r="AU11" s="19">
        <f t="shared" si="1"/>
        <v>750399.99999999988</v>
      </c>
      <c r="AV11" s="19">
        <f t="shared" si="1"/>
        <v>525279.99999999988</v>
      </c>
      <c r="AW11" s="19">
        <f t="shared" si="1"/>
        <v>493119.99999999994</v>
      </c>
      <c r="AX11" s="19">
        <f t="shared" si="1"/>
        <v>937950.9375</v>
      </c>
      <c r="AY11" s="19">
        <f t="shared" si="1"/>
        <v>1003389.375</v>
      </c>
      <c r="AZ11" s="19">
        <f t="shared" si="1"/>
        <v>1330581.5625</v>
      </c>
      <c r="BA11" s="19">
        <f t="shared" si="1"/>
        <v>2835665.625</v>
      </c>
      <c r="BB11" s="19">
        <f t="shared" si="1"/>
        <v>4013557.5</v>
      </c>
      <c r="BC11" s="19">
        <f t="shared" si="1"/>
        <v>3228296.25</v>
      </c>
      <c r="BD11" s="19">
        <f t="shared" si="1"/>
        <v>4013557.5</v>
      </c>
      <c r="BE11" s="19">
        <f t="shared" si="1"/>
        <v>3228296.25</v>
      </c>
      <c r="BF11" s="19">
        <f t="shared" si="1"/>
        <v>1984965.9375</v>
      </c>
      <c r="BG11" s="19">
        <f t="shared" si="1"/>
        <v>1526896.875</v>
      </c>
      <c r="BH11" s="19">
        <f t="shared" si="1"/>
        <v>1068827.8125</v>
      </c>
      <c r="BI11" s="19">
        <f t="shared" si="1"/>
        <v>1003389.375</v>
      </c>
      <c r="BJ11" s="19">
        <f t="shared" si="1"/>
        <v>1649453.125</v>
      </c>
      <c r="BK11" s="19">
        <f t="shared" si="1"/>
        <v>1764531.25</v>
      </c>
      <c r="BL11" s="19">
        <f t="shared" si="1"/>
        <v>2339921.875</v>
      </c>
      <c r="BM11" s="19">
        <f t="shared" si="1"/>
        <v>4986718.75</v>
      </c>
      <c r="BN11" s="19">
        <f t="shared" ref="BN11:CS11" si="2">BN9+BN10</f>
        <v>7058125</v>
      </c>
      <c r="BO11" s="19">
        <f t="shared" si="2"/>
        <v>5677187.5</v>
      </c>
      <c r="BP11" s="19">
        <f t="shared" si="2"/>
        <v>7058125</v>
      </c>
      <c r="BQ11" s="19">
        <f t="shared" si="2"/>
        <v>5677187.5</v>
      </c>
      <c r="BR11" s="19">
        <f t="shared" si="2"/>
        <v>3490703.125</v>
      </c>
      <c r="BS11" s="19">
        <f t="shared" si="2"/>
        <v>2685156.25</v>
      </c>
      <c r="BT11" s="19">
        <f t="shared" si="2"/>
        <v>1879609.375</v>
      </c>
      <c r="BU11" s="19">
        <f t="shared" si="2"/>
        <v>1764531.25</v>
      </c>
    </row>
    <row r="13" spans="1:73" x14ac:dyDescent="0.2">
      <c r="A13" s="7" t="s">
        <v>122</v>
      </c>
      <c r="B13" s="37">
        <f>Proforma!B68*Seasonality!$B$3/12</f>
        <v>0</v>
      </c>
      <c r="C13" s="37">
        <f>Proforma!B68*Seasonality!$B$4/12</f>
        <v>0</v>
      </c>
      <c r="D13" s="37">
        <f>Proforma!B68*Seasonality!$B$5/12</f>
        <v>0</v>
      </c>
      <c r="E13" s="37">
        <f>Proforma!B68*Seasonality!$B$6/12</f>
        <v>0</v>
      </c>
      <c r="F13" s="37">
        <f>Proforma!B68*Seasonality!$B$7/12</f>
        <v>0</v>
      </c>
      <c r="G13" s="37">
        <f>Proforma!B68*Seasonality!$B$8/12</f>
        <v>0</v>
      </c>
      <c r="H13" s="37">
        <f>Proforma!B68*Seasonality!$B$9/12</f>
        <v>0</v>
      </c>
      <c r="I13" s="37">
        <f>Proforma!B68*Seasonality!$B$10/12</f>
        <v>0</v>
      </c>
      <c r="J13" s="37">
        <f>Proforma!B68*Seasonality!$B$11/12</f>
        <v>0</v>
      </c>
      <c r="K13" s="37">
        <f>Proforma!B68*Seasonality!$B$12/12</f>
        <v>0</v>
      </c>
      <c r="L13" s="37">
        <f>Proforma!B68*Seasonality!$B$13/12</f>
        <v>0</v>
      </c>
      <c r="M13" s="37">
        <f>Proforma!B68*Seasonality!$B$14/12</f>
        <v>0</v>
      </c>
      <c r="N13" s="37">
        <f>Proforma!C68*Seasonality!$B$3/12</f>
        <v>-193.28125</v>
      </c>
      <c r="O13" s="37">
        <f>Proforma!C68*Seasonality!$B$4/12</f>
        <v>-386.5625</v>
      </c>
      <c r="P13" s="37">
        <f>Proforma!C68*Seasonality!$B$5/12</f>
        <v>-1352.9687499999998</v>
      </c>
      <c r="Q13" s="37">
        <f>Proforma!C68*Seasonality!$B$6/12</f>
        <v>-5798.4375</v>
      </c>
      <c r="R13" s="37">
        <f>Proforma!C68*Seasonality!$B$7/12</f>
        <v>-9277.5</v>
      </c>
      <c r="S13" s="37">
        <f>Proforma!C68*Seasonality!$B$8/12</f>
        <v>-6958.125</v>
      </c>
      <c r="T13" s="37">
        <f>Proforma!C68*Seasonality!$B$9/12</f>
        <v>-9277.5</v>
      </c>
      <c r="U13" s="37">
        <f>Proforma!C68*Seasonality!$B$10/12</f>
        <v>-6958.125</v>
      </c>
      <c r="V13" s="37">
        <f>Proforma!C68*Seasonality!$B$11/12</f>
        <v>-3285.78125</v>
      </c>
      <c r="W13" s="37">
        <f>Proforma!C68*Seasonality!$B$12/12</f>
        <v>-1932.8125</v>
      </c>
      <c r="X13" s="37">
        <f>Proforma!C68*Seasonality!$B$13/12</f>
        <v>-579.84375</v>
      </c>
      <c r="Y13" s="37">
        <f>Proforma!C68*Seasonality!$B$14/12</f>
        <v>-386.5625</v>
      </c>
      <c r="Z13" s="37">
        <f>Proforma!D68*Seasonality!$B$3/12</f>
        <v>-562.890625</v>
      </c>
      <c r="AA13" s="37">
        <f>Proforma!D68*Seasonality!$B$4/12</f>
        <v>-1125.78125</v>
      </c>
      <c r="AB13" s="37">
        <f>Proforma!D68*Seasonality!$B$5/12</f>
        <v>-3940.234375</v>
      </c>
      <c r="AC13" s="37">
        <f>Proforma!D68*Seasonality!$B$6/12</f>
        <v>-16886.71875</v>
      </c>
      <c r="AD13" s="37">
        <f>Proforma!D68*Seasonality!$B$7/12</f>
        <v>-27018.75</v>
      </c>
      <c r="AE13" s="37">
        <f>Proforma!D68*Seasonality!$B$8/12</f>
        <v>-20264.0625</v>
      </c>
      <c r="AF13" s="37">
        <f>Proforma!D68*Seasonality!$B$9/12</f>
        <v>-27018.75</v>
      </c>
      <c r="AG13" s="37">
        <f>Proforma!D68*Seasonality!$B$10/12</f>
        <v>-20264.0625</v>
      </c>
      <c r="AH13" s="37">
        <f>Proforma!D68*Seasonality!$B$11/12</f>
        <v>-9569.140625</v>
      </c>
      <c r="AI13" s="37">
        <f>Proforma!D68*Seasonality!$B$12/12</f>
        <v>-5628.90625</v>
      </c>
      <c r="AJ13" s="37">
        <f>Proforma!D68*Seasonality!$B$13/12</f>
        <v>-1688.671875</v>
      </c>
      <c r="AK13" s="37">
        <f>Proforma!D68*Seasonality!$B$14/12</f>
        <v>-1125.78125</v>
      </c>
      <c r="AL13" s="37">
        <f>Proforma!E68*Seasonality!$B$3/12</f>
        <v>-1339.9999999999998</v>
      </c>
      <c r="AM13" s="37">
        <f>Proforma!E68*Seasonality!$B$4/12</f>
        <v>-2679.9999999999995</v>
      </c>
      <c r="AN13" s="37">
        <f>Proforma!E68*Seasonality!$B$5/12</f>
        <v>-9379.9999999999982</v>
      </c>
      <c r="AO13" s="37">
        <f>Proforma!E68*Seasonality!$B$6/12</f>
        <v>-40199.999999999993</v>
      </c>
      <c r="AP13" s="37">
        <f>Proforma!E68*Seasonality!$B$7/12</f>
        <v>-64319.999999999993</v>
      </c>
      <c r="AQ13" s="37">
        <f>Proforma!E68*Seasonality!$B$8/12</f>
        <v>-48239.999999999993</v>
      </c>
      <c r="AR13" s="37">
        <f>Proforma!E68*Seasonality!$B$9/12</f>
        <v>-64319.999999999993</v>
      </c>
      <c r="AS13" s="37">
        <f>Proforma!E68*Seasonality!$B$10/12</f>
        <v>-48239.999999999993</v>
      </c>
      <c r="AT13" s="37">
        <f>Proforma!E68*Seasonality!$B$11/12</f>
        <v>-22779.999999999996</v>
      </c>
      <c r="AU13" s="37">
        <f>Proforma!E68*Seasonality!$B$12/12</f>
        <v>-13399.999999999998</v>
      </c>
      <c r="AV13" s="37">
        <f>Proforma!E68*Seasonality!$B$13/12</f>
        <v>-4019.9999999999995</v>
      </c>
      <c r="AW13" s="37">
        <f>Proforma!E68*Seasonality!$B$14/12</f>
        <v>-2679.9999999999995</v>
      </c>
      <c r="AX13" s="37">
        <f>Proforma!F68*Seasonality!$B$3/12</f>
        <v>-2726.6015625</v>
      </c>
      <c r="AY13" s="37">
        <f>Proforma!F68*Seasonality!$B$4/12</f>
        <v>-5453.203125</v>
      </c>
      <c r="AZ13" s="37">
        <f>Proforma!F68*Seasonality!$B$5/12</f>
        <v>-19086.2109375</v>
      </c>
      <c r="BA13" s="37">
        <f>Proforma!F68*Seasonality!$B$6/12</f>
        <v>-81798.046875</v>
      </c>
      <c r="BB13" s="37">
        <f>Proforma!F68*Seasonality!$B$7/12</f>
        <v>-130876.875</v>
      </c>
      <c r="BC13" s="37">
        <f>Proforma!F68*Seasonality!$B$8/12</f>
        <v>-98157.65625</v>
      </c>
      <c r="BD13" s="37">
        <f>Proforma!F68*Seasonality!$B$9/12</f>
        <v>-130876.875</v>
      </c>
      <c r="BE13" s="37">
        <f>Proforma!F68*Seasonality!$B$10/12</f>
        <v>-98157.65625</v>
      </c>
      <c r="BF13" s="37">
        <f>Proforma!F68*Seasonality!$B$11/12</f>
        <v>-46352.2265625</v>
      </c>
      <c r="BG13" s="37">
        <f>Proforma!F68*Seasonality!$B$12/12</f>
        <v>-27266.015625</v>
      </c>
      <c r="BH13" s="37">
        <f>Proforma!F68*Seasonality!$B$13/12</f>
        <v>-8179.8046875</v>
      </c>
      <c r="BI13" s="37">
        <f>Proforma!F68*Seasonality!$B$14/12</f>
        <v>-5453.203125</v>
      </c>
      <c r="BJ13" s="37">
        <f>Proforma!G68*Seasonality!$B$3/12</f>
        <v>-4794.921875</v>
      </c>
      <c r="BK13" s="37">
        <f>Proforma!G68*Seasonality!$B$4/12</f>
        <v>-9589.84375</v>
      </c>
      <c r="BL13" s="37">
        <f>Proforma!G68*Seasonality!$B$5/12</f>
        <v>-33564.453125</v>
      </c>
      <c r="BM13" s="37">
        <f>Proforma!G68*Seasonality!$B$6/12</f>
        <v>-143847.65625</v>
      </c>
      <c r="BN13" s="37">
        <f>Proforma!G68*Seasonality!$B$7/12</f>
        <v>-230156.25</v>
      </c>
      <c r="BO13" s="37">
        <f>Proforma!G68*Seasonality!$B$8/12</f>
        <v>-172617.1875</v>
      </c>
      <c r="BP13" s="37">
        <f>Proforma!G68*Seasonality!$B$9/12</f>
        <v>-230156.25</v>
      </c>
      <c r="BQ13" s="37">
        <f>Proforma!G68*Seasonality!$B$10/12</f>
        <v>-172617.1875</v>
      </c>
      <c r="BR13" s="37">
        <f>Proforma!G68*Seasonality!$B$11/12</f>
        <v>-81513.671875</v>
      </c>
      <c r="BS13" s="37">
        <f>Proforma!G68*Seasonality!$B$12/12</f>
        <v>-47949.21875</v>
      </c>
      <c r="BT13" s="37">
        <f>Proforma!G68*Seasonality!$B$13/12</f>
        <v>-14384.765625</v>
      </c>
      <c r="BU13" s="37">
        <f>Proforma!G68*Seasonality!$B$14/12</f>
        <v>-9589.84375</v>
      </c>
    </row>
    <row r="14" spans="1:73" x14ac:dyDescent="0.2">
      <c r="A14" s="7" t="s">
        <v>123</v>
      </c>
      <c r="B14" s="37">
        <f>Proforma!B69/12</f>
        <v>0</v>
      </c>
      <c r="C14" s="37">
        <f>Proforma!B69/12</f>
        <v>0</v>
      </c>
      <c r="D14" s="37">
        <f>Proforma!B69/12</f>
        <v>0</v>
      </c>
      <c r="E14" s="37">
        <f>Proforma!B69/12</f>
        <v>0</v>
      </c>
      <c r="F14" s="37">
        <f>Proforma!B69/12</f>
        <v>0</v>
      </c>
      <c r="G14" s="37">
        <f>Proforma!B69/12</f>
        <v>0</v>
      </c>
      <c r="H14" s="37">
        <f>Proforma!B69/12</f>
        <v>0</v>
      </c>
      <c r="I14" s="37">
        <f>Proforma!B69/12</f>
        <v>0</v>
      </c>
      <c r="J14" s="37">
        <f>Proforma!B69/12</f>
        <v>0</v>
      </c>
      <c r="K14" s="37">
        <f>Proforma!B69/12</f>
        <v>0</v>
      </c>
      <c r="L14" s="37">
        <f>Proforma!B69/12</f>
        <v>0</v>
      </c>
      <c r="M14" s="37">
        <f>Proforma!B69/12</f>
        <v>0</v>
      </c>
      <c r="N14" s="37">
        <f>Proforma!C69/12</f>
        <v>-9277.5</v>
      </c>
      <c r="O14" s="37">
        <f>Proforma!C69/12</f>
        <v>-9277.5</v>
      </c>
      <c r="P14" s="37">
        <f>Proforma!C69/12</f>
        <v>-9277.5</v>
      </c>
      <c r="Q14" s="37">
        <f>Proforma!C69/12</f>
        <v>-9277.5</v>
      </c>
      <c r="R14" s="37">
        <f>Proforma!C69/12</f>
        <v>-9277.5</v>
      </c>
      <c r="S14" s="37">
        <f>Proforma!C69/12</f>
        <v>-9277.5</v>
      </c>
      <c r="T14" s="37">
        <f>Proforma!C69/12</f>
        <v>-9277.5</v>
      </c>
      <c r="U14" s="37">
        <f>Proforma!C69/12</f>
        <v>-9277.5</v>
      </c>
      <c r="V14" s="37">
        <f>Proforma!C69/12</f>
        <v>-9277.5</v>
      </c>
      <c r="W14" s="37">
        <f>Proforma!C69/12</f>
        <v>-9277.5</v>
      </c>
      <c r="X14" s="37">
        <f>Proforma!C69/12</f>
        <v>-9277.5</v>
      </c>
      <c r="Y14" s="37">
        <f>Proforma!C69/12</f>
        <v>-9277.5</v>
      </c>
      <c r="Z14" s="37">
        <f>Proforma!D69/12</f>
        <v>-27018.75</v>
      </c>
      <c r="AA14" s="37">
        <f>Proforma!D69/12</f>
        <v>-27018.75</v>
      </c>
      <c r="AB14" s="37">
        <f>Proforma!D69/12</f>
        <v>-27018.75</v>
      </c>
      <c r="AC14" s="37">
        <f>Proforma!D69/12</f>
        <v>-27018.75</v>
      </c>
      <c r="AD14" s="37">
        <f>Proforma!D69/12</f>
        <v>-27018.75</v>
      </c>
      <c r="AE14" s="37">
        <f>Proforma!D69/12</f>
        <v>-27018.75</v>
      </c>
      <c r="AF14" s="37">
        <f>Proforma!D69/12</f>
        <v>-27018.75</v>
      </c>
      <c r="AG14" s="37">
        <f>Proforma!D69/12</f>
        <v>-27018.75</v>
      </c>
      <c r="AH14" s="37">
        <f>Proforma!D69/12</f>
        <v>-27018.75</v>
      </c>
      <c r="AI14" s="37">
        <f>Proforma!D69/12</f>
        <v>-27018.75</v>
      </c>
      <c r="AJ14" s="37">
        <f>Proforma!D69/12</f>
        <v>-27018.75</v>
      </c>
      <c r="AK14" s="37">
        <f>Proforma!D69/12</f>
        <v>-27018.75</v>
      </c>
      <c r="AL14" s="37">
        <f>Proforma!E69/12</f>
        <v>-64319.999999999993</v>
      </c>
      <c r="AM14" s="37">
        <f>Proforma!E69/12</f>
        <v>-64319.999999999993</v>
      </c>
      <c r="AN14" s="37">
        <f>Proforma!E69/12</f>
        <v>-64319.999999999993</v>
      </c>
      <c r="AO14" s="37">
        <f>Proforma!E69/12</f>
        <v>-64319.999999999993</v>
      </c>
      <c r="AP14" s="37">
        <f>Proforma!E69/12</f>
        <v>-64319.999999999993</v>
      </c>
      <c r="AQ14" s="37">
        <f>Proforma!E69/12</f>
        <v>-64319.999999999993</v>
      </c>
      <c r="AR14" s="37">
        <f>Proforma!E69/12</f>
        <v>-64319.999999999993</v>
      </c>
      <c r="AS14" s="37">
        <f>Proforma!E69/12</f>
        <v>-64319.999999999993</v>
      </c>
      <c r="AT14" s="37">
        <f>Proforma!E69/12</f>
        <v>-64319.999999999993</v>
      </c>
      <c r="AU14" s="37">
        <f>Proforma!E69/12</f>
        <v>-64319.999999999993</v>
      </c>
      <c r="AV14" s="37">
        <f>Proforma!E69/12</f>
        <v>-64319.999999999993</v>
      </c>
      <c r="AW14" s="37">
        <f>Proforma!E69/12</f>
        <v>-64319.999999999993</v>
      </c>
      <c r="AX14" s="37">
        <f>Proforma!F69/12</f>
        <v>-130876.875</v>
      </c>
      <c r="AY14" s="37">
        <f>Proforma!F69/12</f>
        <v>-130876.875</v>
      </c>
      <c r="AZ14" s="37">
        <f>Proforma!F69/12</f>
        <v>-130876.875</v>
      </c>
      <c r="BA14" s="37">
        <f>Proforma!F69/12</f>
        <v>-130876.875</v>
      </c>
      <c r="BB14" s="37">
        <f>Proforma!F69/12</f>
        <v>-130876.875</v>
      </c>
      <c r="BC14" s="37">
        <f>Proforma!F69/12</f>
        <v>-130876.875</v>
      </c>
      <c r="BD14" s="37">
        <f>Proforma!F69/12</f>
        <v>-130876.875</v>
      </c>
      <c r="BE14" s="37">
        <f>Proforma!F69/12</f>
        <v>-130876.875</v>
      </c>
      <c r="BF14" s="37">
        <f>Proforma!F69/12</f>
        <v>-130876.875</v>
      </c>
      <c r="BG14" s="37">
        <f>Proforma!F69/12</f>
        <v>-130876.875</v>
      </c>
      <c r="BH14" s="37">
        <f>Proforma!F69/12</f>
        <v>-130876.875</v>
      </c>
      <c r="BI14" s="37">
        <f>Proforma!F69/12</f>
        <v>-130876.875</v>
      </c>
      <c r="BJ14" s="37">
        <f>Proforma!G69/12</f>
        <v>-230156.25</v>
      </c>
      <c r="BK14" s="37">
        <f>Proforma!G69/12</f>
        <v>-230156.25</v>
      </c>
      <c r="BL14" s="37">
        <f>Proforma!G69/12</f>
        <v>-230156.25</v>
      </c>
      <c r="BM14" s="37">
        <f>Proforma!G69/12</f>
        <v>-230156.25</v>
      </c>
      <c r="BN14" s="37">
        <f>Proforma!G69/12</f>
        <v>-230156.25</v>
      </c>
      <c r="BO14" s="37">
        <f>Proforma!G69/12</f>
        <v>-230156.25</v>
      </c>
      <c r="BP14" s="37">
        <f>Proforma!G69/12</f>
        <v>-230156.25</v>
      </c>
      <c r="BQ14" s="37">
        <f>Proforma!G69/12</f>
        <v>-230156.25</v>
      </c>
      <c r="BR14" s="37">
        <f>Proforma!G69/12</f>
        <v>-230156.25</v>
      </c>
      <c r="BS14" s="37">
        <f>Proforma!G69/12</f>
        <v>-230156.25</v>
      </c>
      <c r="BT14" s="37">
        <f>Proforma!G69/12</f>
        <v>-230156.25</v>
      </c>
      <c r="BU14" s="37">
        <f>Proforma!G69/12</f>
        <v>-230156.25</v>
      </c>
    </row>
    <row r="15" spans="1:73" x14ac:dyDescent="0.2">
      <c r="A15" s="7" t="s">
        <v>124</v>
      </c>
      <c r="B15" s="37">
        <v>0</v>
      </c>
      <c r="C15" s="37">
        <v>0</v>
      </c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f>-Proforma!B55/5</f>
        <v>-34342</v>
      </c>
      <c r="J15" s="37">
        <f>-Proforma!B55/5</f>
        <v>-34342</v>
      </c>
      <c r="K15" s="37">
        <f>-Proforma!B55/5</f>
        <v>-34342</v>
      </c>
      <c r="L15" s="37">
        <f>-Proforma!B55/5</f>
        <v>-34342</v>
      </c>
      <c r="M15" s="37">
        <f>-Proforma!B55/5</f>
        <v>-34342</v>
      </c>
      <c r="N15" s="37">
        <f>-Proforma!C55/12</f>
        <v>-60555</v>
      </c>
      <c r="O15" s="37">
        <f>-Proforma!C55/12</f>
        <v>-60555</v>
      </c>
      <c r="P15" s="37">
        <f>-Proforma!C55/12</f>
        <v>-60555</v>
      </c>
      <c r="Q15" s="37">
        <f>-Proforma!C55/12</f>
        <v>-60555</v>
      </c>
      <c r="R15" s="37">
        <f>-Proforma!C55/12</f>
        <v>-60555</v>
      </c>
      <c r="S15" s="37">
        <f>-Proforma!C55/12</f>
        <v>-60555</v>
      </c>
      <c r="T15" s="37">
        <f>-Proforma!C55/12</f>
        <v>-60555</v>
      </c>
      <c r="U15" s="37">
        <f>-Proforma!C55/12</f>
        <v>-60555</v>
      </c>
      <c r="V15" s="37">
        <f>-Proforma!C55/12</f>
        <v>-60555</v>
      </c>
      <c r="W15" s="37">
        <f>-Proforma!C55/12</f>
        <v>-60555</v>
      </c>
      <c r="X15" s="37">
        <f>-Proforma!C55/12</f>
        <v>-60555</v>
      </c>
      <c r="Y15" s="37">
        <f>-Proforma!C55/12</f>
        <v>-60555</v>
      </c>
      <c r="Z15" s="37">
        <f>-Proforma!D55/12</f>
        <v>-194133.33333333334</v>
      </c>
      <c r="AA15" s="37">
        <f>-Proforma!D55/12</f>
        <v>-194133.33333333334</v>
      </c>
      <c r="AB15" s="37">
        <f>-Proforma!D55/12</f>
        <v>-194133.33333333334</v>
      </c>
      <c r="AC15" s="37">
        <f>-Proforma!D55/12</f>
        <v>-194133.33333333334</v>
      </c>
      <c r="AD15" s="37">
        <f>-Proforma!D55/12</f>
        <v>-194133.33333333334</v>
      </c>
      <c r="AE15" s="37">
        <f>-Proforma!D55/12</f>
        <v>-194133.33333333334</v>
      </c>
      <c r="AF15" s="37">
        <f>-Proforma!D55/12</f>
        <v>-194133.33333333334</v>
      </c>
      <c r="AG15" s="37">
        <f>-Proforma!D55/12</f>
        <v>-194133.33333333334</v>
      </c>
      <c r="AH15" s="37">
        <f>-Proforma!D55/12</f>
        <v>-194133.33333333334</v>
      </c>
      <c r="AI15" s="37">
        <f>-Proforma!D55/12</f>
        <v>-194133.33333333334</v>
      </c>
      <c r="AJ15" s="37">
        <f>-Proforma!D55/12</f>
        <v>-194133.33333333334</v>
      </c>
      <c r="AK15" s="37">
        <f>-Proforma!D55/12</f>
        <v>-194133.33333333334</v>
      </c>
      <c r="AL15" s="37">
        <f>-Proforma!E55/12</f>
        <v>-305386.66666666669</v>
      </c>
      <c r="AM15" s="37">
        <f>-Proforma!E55/12</f>
        <v>-305386.66666666669</v>
      </c>
      <c r="AN15" s="37">
        <f>-Proforma!E55/12</f>
        <v>-305386.66666666669</v>
      </c>
      <c r="AO15" s="37">
        <f>-Proforma!E55/12</f>
        <v>-305386.66666666669</v>
      </c>
      <c r="AP15" s="37">
        <f>-Proforma!E55/12</f>
        <v>-305386.66666666669</v>
      </c>
      <c r="AQ15" s="37">
        <f>-Proforma!E55/12</f>
        <v>-305386.66666666669</v>
      </c>
      <c r="AR15" s="37">
        <f>-Proforma!E55/12</f>
        <v>-305386.66666666669</v>
      </c>
      <c r="AS15" s="37">
        <f>-Proforma!E55/12</f>
        <v>-305386.66666666669</v>
      </c>
      <c r="AT15" s="37">
        <f>-Proforma!E55/12</f>
        <v>-305386.66666666669</v>
      </c>
      <c r="AU15" s="37">
        <f>-Proforma!E55/12</f>
        <v>-305386.66666666669</v>
      </c>
      <c r="AV15" s="37">
        <f>-Proforma!E55/12</f>
        <v>-305386.66666666669</v>
      </c>
      <c r="AW15" s="37">
        <f>-Proforma!E55/12</f>
        <v>-305386.66666666669</v>
      </c>
      <c r="AX15" s="37">
        <f>-Proforma!F55/12</f>
        <v>-423146.66666666669</v>
      </c>
      <c r="AY15" s="37">
        <f>-Proforma!F55/12</f>
        <v>-423146.66666666669</v>
      </c>
      <c r="AZ15" s="37">
        <f>-Proforma!F55/12</f>
        <v>-423146.66666666669</v>
      </c>
      <c r="BA15" s="37">
        <f>-Proforma!F55/12</f>
        <v>-423146.66666666669</v>
      </c>
      <c r="BB15" s="37">
        <f>-Proforma!F55/12</f>
        <v>-423146.66666666669</v>
      </c>
      <c r="BC15" s="37">
        <f>-Proforma!F55/12</f>
        <v>-423146.66666666669</v>
      </c>
      <c r="BD15" s="37">
        <f>-Proforma!F55/12</f>
        <v>-423146.66666666669</v>
      </c>
      <c r="BE15" s="37">
        <f>-Proforma!F55/12</f>
        <v>-423146.66666666669</v>
      </c>
      <c r="BF15" s="37">
        <f>-Proforma!F55/12</f>
        <v>-423146.66666666669</v>
      </c>
      <c r="BG15" s="37">
        <f>-Proforma!F55/12</f>
        <v>-423146.66666666669</v>
      </c>
      <c r="BH15" s="37">
        <f>-Proforma!F55/12</f>
        <v>-423146.66666666669</v>
      </c>
      <c r="BI15" s="37">
        <f>-Proforma!F55/12</f>
        <v>-423146.66666666669</v>
      </c>
      <c r="BJ15" s="37">
        <f>-Proforma!G55/12</f>
        <v>-548373.33333333337</v>
      </c>
      <c r="BK15" s="37">
        <f>-Proforma!G55/12</f>
        <v>-548373.33333333337</v>
      </c>
      <c r="BL15" s="37">
        <f>-Proforma!G55/12</f>
        <v>-548373.33333333337</v>
      </c>
      <c r="BM15" s="37">
        <f>-Proforma!G55/12</f>
        <v>-548373.33333333337</v>
      </c>
      <c r="BN15" s="37">
        <f>-Proforma!G55/12</f>
        <v>-548373.33333333337</v>
      </c>
      <c r="BO15" s="37">
        <f>-Proforma!G55/12</f>
        <v>-548373.33333333337</v>
      </c>
      <c r="BP15" s="37">
        <f>-Proforma!G55/12</f>
        <v>-548373.33333333337</v>
      </c>
      <c r="BQ15" s="37">
        <f>-Proforma!G55/12</f>
        <v>-548373.33333333337</v>
      </c>
      <c r="BR15" s="37">
        <f>-Proforma!G55/12</f>
        <v>-548373.33333333337</v>
      </c>
      <c r="BS15" s="37">
        <f>-Proforma!G55/12</f>
        <v>-548373.33333333337</v>
      </c>
      <c r="BT15" s="37">
        <f>-Proforma!G55/12</f>
        <v>-548373.33333333337</v>
      </c>
      <c r="BU15" s="37">
        <f>-Proforma!G55/12</f>
        <v>-548373.33333333337</v>
      </c>
    </row>
    <row r="16" spans="1:73" x14ac:dyDescent="0.2">
      <c r="A16" s="7" t="s">
        <v>125</v>
      </c>
      <c r="B16" s="37">
        <v>0</v>
      </c>
      <c r="C16" s="37">
        <v>0</v>
      </c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f>-Proforma!B35*Proforma!$J$13/5</f>
        <v>-2100</v>
      </c>
      <c r="J16" s="37">
        <f>-Proforma!B35*Proforma!$J$13/5</f>
        <v>-2100</v>
      </c>
      <c r="K16" s="37">
        <f>-Proforma!B35*Proforma!$J$13/5</f>
        <v>-2100</v>
      </c>
      <c r="L16" s="37">
        <f>-Proforma!B35*Proforma!$J$13/5</f>
        <v>-2100</v>
      </c>
      <c r="M16" s="37">
        <f>-Proforma!B35*Proforma!$J$13/5</f>
        <v>-2100</v>
      </c>
      <c r="N16" s="37">
        <f>-Proforma!C35*Proforma!$J$13/12</f>
        <v>-4290</v>
      </c>
      <c r="O16" s="37">
        <f>-Proforma!C35*Proforma!$J$13/12</f>
        <v>-4290</v>
      </c>
      <c r="P16" s="37">
        <f>-Proforma!C35*Proforma!$J$13/12</f>
        <v>-4290</v>
      </c>
      <c r="Q16" s="37">
        <f>-Proforma!C35*Proforma!$J$13/12</f>
        <v>-4290</v>
      </c>
      <c r="R16" s="37">
        <f>-Proforma!C35*Proforma!$J$13/12</f>
        <v>-4290</v>
      </c>
      <c r="S16" s="37">
        <f>-Proforma!C35*Proforma!$J$13/12</f>
        <v>-4290</v>
      </c>
      <c r="T16" s="37">
        <f>-Proforma!C35*Proforma!$J$13/12</f>
        <v>-4290</v>
      </c>
      <c r="U16" s="37">
        <f>-Proforma!C35*Proforma!$J$13/12</f>
        <v>-4290</v>
      </c>
      <c r="V16" s="37">
        <f>-Proforma!C35*Proforma!$J$13/12</f>
        <v>-4290</v>
      </c>
      <c r="W16" s="37">
        <f>-Proforma!C35*Proforma!$J$13/12</f>
        <v>-4290</v>
      </c>
      <c r="X16" s="37">
        <f>-Proforma!C35*Proforma!$J$13/12</f>
        <v>-4290</v>
      </c>
      <c r="Y16" s="37">
        <f>-Proforma!C35*Proforma!$J$13/12</f>
        <v>-4290</v>
      </c>
      <c r="Z16" s="37">
        <f>-Proforma!D35*Proforma!$J$13/12</f>
        <v>-8500</v>
      </c>
      <c r="AA16" s="37">
        <f>-Proforma!D35*Proforma!$J$13/12</f>
        <v>-8500</v>
      </c>
      <c r="AB16" s="37">
        <f>-Proforma!D35*Proforma!$J$13/12</f>
        <v>-8500</v>
      </c>
      <c r="AC16" s="37">
        <f>-Proforma!D35*Proforma!$J$13/12</f>
        <v>-8500</v>
      </c>
      <c r="AD16" s="37">
        <f>-Proforma!D35*Proforma!$J$13/12</f>
        <v>-8500</v>
      </c>
      <c r="AE16" s="37">
        <f>-Proforma!D35*Proforma!$J$13/12</f>
        <v>-8500</v>
      </c>
      <c r="AF16" s="37">
        <f>-Proforma!D35*Proforma!$J$13/12</f>
        <v>-8500</v>
      </c>
      <c r="AG16" s="37">
        <f>-Proforma!D35*Proforma!$J$13/12</f>
        <v>-8500</v>
      </c>
      <c r="AH16" s="37">
        <f>-Proforma!D35*Proforma!$J$13/12</f>
        <v>-8500</v>
      </c>
      <c r="AI16" s="37">
        <f>-Proforma!D35*Proforma!$J$13/12</f>
        <v>-8500</v>
      </c>
      <c r="AJ16" s="37">
        <f>-Proforma!D35*Proforma!$J$13/12</f>
        <v>-8500</v>
      </c>
      <c r="AK16" s="37">
        <f>-Proforma!D35*Proforma!$J$13/12</f>
        <v>-8500</v>
      </c>
      <c r="AL16" s="37">
        <f>-Proforma!E35*Proforma!$J$13/12</f>
        <v>-13500</v>
      </c>
      <c r="AM16" s="37">
        <f>-Proforma!E35*Proforma!$J$13/12</f>
        <v>-13500</v>
      </c>
      <c r="AN16" s="37">
        <f>-Proforma!E35*Proforma!$J$13/12</f>
        <v>-13500</v>
      </c>
      <c r="AO16" s="37">
        <f>-Proforma!E35*Proforma!$J$13/12</f>
        <v>-13500</v>
      </c>
      <c r="AP16" s="37">
        <f>-Proforma!E35*Proforma!$J$13/12</f>
        <v>-13500</v>
      </c>
      <c r="AQ16" s="37">
        <f>-Proforma!E35*Proforma!$J$13/12</f>
        <v>-13500</v>
      </c>
      <c r="AR16" s="37">
        <f>-Proforma!E35*Proforma!$J$13/12</f>
        <v>-13500</v>
      </c>
      <c r="AS16" s="37">
        <f>-Proforma!E35*Proforma!$J$13/12</f>
        <v>-13500</v>
      </c>
      <c r="AT16" s="37">
        <f>-Proforma!E35*Proforma!$J$13/12</f>
        <v>-13500</v>
      </c>
      <c r="AU16" s="37">
        <f>-Proforma!E35*Proforma!$J$13/12</f>
        <v>-13500</v>
      </c>
      <c r="AV16" s="37">
        <f>-Proforma!E35*Proforma!$J$13/12</f>
        <v>-13500</v>
      </c>
      <c r="AW16" s="37">
        <f>-Proforma!E35*Proforma!$J$13/12</f>
        <v>-13500</v>
      </c>
      <c r="AX16" s="37">
        <f>-Proforma!F35*Proforma!$J$13/12</f>
        <v>-18500</v>
      </c>
      <c r="AY16" s="37">
        <f>-Proforma!F35*Proforma!$J$13/12</f>
        <v>-18500</v>
      </c>
      <c r="AZ16" s="37">
        <f>-Proforma!F35*Proforma!$J$13/12</f>
        <v>-18500</v>
      </c>
      <c r="BA16" s="37">
        <f>-Proforma!F35*Proforma!$J$13/12</f>
        <v>-18500</v>
      </c>
      <c r="BB16" s="37">
        <f>-Proforma!F35*Proforma!$J$13/12</f>
        <v>-18500</v>
      </c>
      <c r="BC16" s="37">
        <f>-Proforma!F35*Proforma!$J$13/12</f>
        <v>-18500</v>
      </c>
      <c r="BD16" s="37">
        <f>-Proforma!F35*Proforma!$J$13/12</f>
        <v>-18500</v>
      </c>
      <c r="BE16" s="37">
        <f>-Proforma!F35*Proforma!$J$13/12</f>
        <v>-18500</v>
      </c>
      <c r="BF16" s="37">
        <f>-Proforma!F35*Proforma!$J$13/12</f>
        <v>-18500</v>
      </c>
      <c r="BG16" s="37">
        <f>-Proforma!F35*Proforma!$J$13/12</f>
        <v>-18500</v>
      </c>
      <c r="BH16" s="37">
        <f>-Proforma!F35*Proforma!$J$13/12</f>
        <v>-18500</v>
      </c>
      <c r="BI16" s="37">
        <f>-Proforma!F35*Proforma!$J$13/12</f>
        <v>-18500</v>
      </c>
      <c r="BJ16" s="37">
        <f>-Proforma!G35*Proforma!$J$13/12</f>
        <v>-23500</v>
      </c>
      <c r="BK16" s="37">
        <f>-Proforma!G35*Proforma!$J$13/12</f>
        <v>-23500</v>
      </c>
      <c r="BL16" s="37">
        <f>-Proforma!G35*Proforma!$J$13/12</f>
        <v>-23500</v>
      </c>
      <c r="BM16" s="37">
        <f>-Proforma!G35*Proforma!$J$13/12</f>
        <v>-23500</v>
      </c>
      <c r="BN16" s="37">
        <f>-Proforma!G35*Proforma!$J$13/12</f>
        <v>-23500</v>
      </c>
      <c r="BO16" s="37">
        <f>-Proforma!G35*Proforma!$J$13/12</f>
        <v>-23500</v>
      </c>
      <c r="BP16" s="37">
        <f>-Proforma!G35*Proforma!$J$13/12</f>
        <v>-23500</v>
      </c>
      <c r="BQ16" s="37">
        <f>-Proforma!G35*Proforma!$J$13/12</f>
        <v>-23500</v>
      </c>
      <c r="BR16" s="37">
        <f>-Proforma!G35*Proforma!$J$13/12</f>
        <v>-23500</v>
      </c>
      <c r="BS16" s="37">
        <f>-Proforma!G35*Proforma!$J$13/12</f>
        <v>-23500</v>
      </c>
      <c r="BT16" s="37">
        <f>-Proforma!G35*Proforma!$J$13/12</f>
        <v>-23500</v>
      </c>
      <c r="BU16" s="37">
        <f>-Proforma!G35*Proforma!$J$13/12</f>
        <v>-23500</v>
      </c>
    </row>
    <row r="17" spans="1:73" x14ac:dyDescent="0.2">
      <c r="A17" s="7" t="s">
        <v>126</v>
      </c>
      <c r="B17" s="37">
        <v>0</v>
      </c>
      <c r="C17" s="37">
        <v>0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f>Proforma!B77/5</f>
        <v>-12000</v>
      </c>
      <c r="J17" s="37">
        <f>Proforma!B77/5</f>
        <v>-12000</v>
      </c>
      <c r="K17" s="37">
        <f>Proforma!B77/5</f>
        <v>-12000</v>
      </c>
      <c r="L17" s="37">
        <f>Proforma!B77/5</f>
        <v>-12000</v>
      </c>
      <c r="M17" s="37">
        <f>Proforma!B77/5</f>
        <v>-12000</v>
      </c>
      <c r="N17" s="37">
        <f>Proforma!C77/12</f>
        <v>-7900</v>
      </c>
      <c r="O17" s="37">
        <f>Proforma!C77/12</f>
        <v>-7900</v>
      </c>
      <c r="P17" s="37">
        <f>Proforma!C77/12</f>
        <v>-7900</v>
      </c>
      <c r="Q17" s="37">
        <f>Proforma!C77/12</f>
        <v>-7900</v>
      </c>
      <c r="R17" s="37">
        <f>Proforma!C77/12</f>
        <v>-7900</v>
      </c>
      <c r="S17" s="37">
        <f>Proforma!C77/12</f>
        <v>-7900</v>
      </c>
      <c r="T17" s="37">
        <f>Proforma!C77/12</f>
        <v>-7900</v>
      </c>
      <c r="U17" s="37">
        <f>Proforma!C77/12</f>
        <v>-7900</v>
      </c>
      <c r="V17" s="37">
        <f>Proforma!C77/12</f>
        <v>-7900</v>
      </c>
      <c r="W17" s="37">
        <f>Proforma!C77/12</f>
        <v>-7900</v>
      </c>
      <c r="X17" s="37">
        <f>Proforma!C77/12</f>
        <v>-7900</v>
      </c>
      <c r="Y17" s="37">
        <f>Proforma!C77/12</f>
        <v>-7900</v>
      </c>
      <c r="Z17" s="37">
        <f>Proforma!D77/12</f>
        <v>-18375</v>
      </c>
      <c r="AA17" s="37">
        <f>Proforma!D77/12</f>
        <v>-18375</v>
      </c>
      <c r="AB17" s="37">
        <f>Proforma!D77/12</f>
        <v>-18375</v>
      </c>
      <c r="AC17" s="37">
        <f>Proforma!D77/12</f>
        <v>-18375</v>
      </c>
      <c r="AD17" s="37">
        <f>Proforma!D77/12</f>
        <v>-18375</v>
      </c>
      <c r="AE17" s="37">
        <f>Proforma!D77/12</f>
        <v>-18375</v>
      </c>
      <c r="AF17" s="37">
        <f>Proforma!D77/12</f>
        <v>-18375</v>
      </c>
      <c r="AG17" s="37">
        <f>Proforma!D77/12</f>
        <v>-18375</v>
      </c>
      <c r="AH17" s="37">
        <f>Proforma!D77/12</f>
        <v>-18375</v>
      </c>
      <c r="AI17" s="37">
        <f>Proforma!D77/12</f>
        <v>-18375</v>
      </c>
      <c r="AJ17" s="37">
        <f>Proforma!D77/12</f>
        <v>-18375</v>
      </c>
      <c r="AK17" s="37">
        <f>Proforma!D77/12</f>
        <v>-18375</v>
      </c>
      <c r="AL17" s="37">
        <f>Proforma!E77/12</f>
        <v>-36800</v>
      </c>
      <c r="AM17" s="37">
        <f>Proforma!E77/12</f>
        <v>-36800</v>
      </c>
      <c r="AN17" s="37">
        <f>Proforma!E77/12</f>
        <v>-36800</v>
      </c>
      <c r="AO17" s="37">
        <f>Proforma!E77/12</f>
        <v>-36800</v>
      </c>
      <c r="AP17" s="37">
        <f>Proforma!E77/12</f>
        <v>-36800</v>
      </c>
      <c r="AQ17" s="37">
        <f>Proforma!E77/12</f>
        <v>-36800</v>
      </c>
      <c r="AR17" s="37">
        <f>Proforma!E77/12</f>
        <v>-36800</v>
      </c>
      <c r="AS17" s="37">
        <f>Proforma!E77/12</f>
        <v>-36800</v>
      </c>
      <c r="AT17" s="37">
        <f>Proforma!E77/12</f>
        <v>-36800</v>
      </c>
      <c r="AU17" s="37">
        <f>Proforma!E77/12</f>
        <v>-36800</v>
      </c>
      <c r="AV17" s="37">
        <f>Proforma!E77/12</f>
        <v>-36800</v>
      </c>
      <c r="AW17" s="37">
        <f>Proforma!E77/12</f>
        <v>-36800</v>
      </c>
      <c r="AX17" s="37">
        <f>Proforma!F77/12</f>
        <v>-63575</v>
      </c>
      <c r="AY17" s="37">
        <f>Proforma!F77/12</f>
        <v>-63575</v>
      </c>
      <c r="AZ17" s="37">
        <f>Proforma!F77/12</f>
        <v>-63575</v>
      </c>
      <c r="BA17" s="37">
        <f>Proforma!F77/12</f>
        <v>-63575</v>
      </c>
      <c r="BB17" s="37">
        <f>Proforma!F77/12</f>
        <v>-63575</v>
      </c>
      <c r="BC17" s="37">
        <f>Proforma!F77/12</f>
        <v>-63575</v>
      </c>
      <c r="BD17" s="37">
        <f>Proforma!F77/12</f>
        <v>-63575</v>
      </c>
      <c r="BE17" s="37">
        <f>Proforma!F77/12</f>
        <v>-63575</v>
      </c>
      <c r="BF17" s="37">
        <f>Proforma!F77/12</f>
        <v>-63575</v>
      </c>
      <c r="BG17" s="37">
        <f>Proforma!F77/12</f>
        <v>-63575</v>
      </c>
      <c r="BH17" s="37">
        <f>Proforma!F77/12</f>
        <v>-63575</v>
      </c>
      <c r="BI17" s="37">
        <f>Proforma!F77/12</f>
        <v>-63575</v>
      </c>
      <c r="BJ17" s="37">
        <f>Proforma!G77/12</f>
        <v>-81250</v>
      </c>
      <c r="BK17" s="37">
        <f>Proforma!G77/12</f>
        <v>-81250</v>
      </c>
      <c r="BL17" s="37">
        <f>Proforma!G77/12</f>
        <v>-81250</v>
      </c>
      <c r="BM17" s="37">
        <f>Proforma!G77/12</f>
        <v>-81250</v>
      </c>
      <c r="BN17" s="37">
        <f>Proforma!G77/12</f>
        <v>-81250</v>
      </c>
      <c r="BO17" s="37">
        <f>Proforma!G77/12</f>
        <v>-81250</v>
      </c>
      <c r="BP17" s="37">
        <f>Proforma!G77/12</f>
        <v>-81250</v>
      </c>
      <c r="BQ17" s="37">
        <f>Proforma!G77/12</f>
        <v>-81250</v>
      </c>
      <c r="BR17" s="37">
        <f>Proforma!G77/12</f>
        <v>-81250</v>
      </c>
      <c r="BS17" s="37">
        <f>Proforma!G77/12</f>
        <v>-81250</v>
      </c>
      <c r="BT17" s="37">
        <f>Proforma!G77/12</f>
        <v>-81250</v>
      </c>
      <c r="BU17" s="37">
        <f>Proforma!G77/12</f>
        <v>-81250</v>
      </c>
    </row>
    <row r="18" spans="1:73" x14ac:dyDescent="0.2">
      <c r="A18" s="7" t="s">
        <v>127</v>
      </c>
      <c r="B18" s="37">
        <v>0</v>
      </c>
      <c r="C18" s="37">
        <v>0</v>
      </c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f>-Proforma!B18*0.0385</f>
        <v>-1804.7259999999999</v>
      </c>
      <c r="J18" s="37">
        <f>-Proforma!B18*0.5422</f>
        <v>-25416.1672</v>
      </c>
      <c r="K18" s="37">
        <f>-Proforma!B18*0.2475</f>
        <v>-11601.81</v>
      </c>
      <c r="L18" s="37">
        <f>-Proforma!B18*0.0365</f>
        <v>-1710.9739999999999</v>
      </c>
      <c r="M18" s="37">
        <f>-Proforma!B18*0.1353</f>
        <v>-6342.3227999999999</v>
      </c>
      <c r="N18" s="37">
        <f>-Proforma!C18*Seasonality!$E$3</f>
        <v>-3928.2087999999999</v>
      </c>
      <c r="O18" s="37">
        <f>-Proforma!C18*Seasonality!$E$4</f>
        <v>-10500.224</v>
      </c>
      <c r="P18" s="37">
        <f>-Proforma!C18*Seasonality!$E$5</f>
        <v>-10500.224</v>
      </c>
      <c r="Q18" s="37">
        <f>-Proforma!C18*Seasonality!$E$6</f>
        <v>0</v>
      </c>
      <c r="R18" s="37">
        <f>-Proforma!C18*Seasonality!$E$7</f>
        <v>-12000.255999999999</v>
      </c>
      <c r="S18" s="37">
        <f>-Proforma!C18*Seasonality!$E$8</f>
        <v>-834.39279999999997</v>
      </c>
      <c r="T18" s="37">
        <f>-Proforma!C18*Seasonality!$E$9</f>
        <v>0</v>
      </c>
      <c r="U18" s="37">
        <f>-Proforma!C18*Seasonality!$E$10</f>
        <v>-2156.2959999999998</v>
      </c>
      <c r="V18" s="37">
        <f>-Proforma!C18*Seasonality!$E$11</f>
        <v>-30356.897599999997</v>
      </c>
      <c r="W18" s="37">
        <f>-Proforma!C18*Seasonality!$E$12</f>
        <v>-13856.545599999999</v>
      </c>
      <c r="X18" s="37">
        <f>-Proforma!C18*Seasonality!$E$13</f>
        <v>-2043.7936</v>
      </c>
      <c r="Y18" s="37">
        <f>-Proforma!C18*Seasonality!$E$14</f>
        <v>-7575.1615999999995</v>
      </c>
      <c r="Z18" s="37">
        <f>-Proforma!D18*Seasonality!$E$3</f>
        <v>-4321.0213000000003</v>
      </c>
      <c r="AA18" s="37">
        <f>-Proforma!D18*Seasonality!$E$4</f>
        <v>-11550.224</v>
      </c>
      <c r="AB18" s="37">
        <f>-Proforma!D18*Seasonality!$E$5</f>
        <v>-11550.224</v>
      </c>
      <c r="AC18" s="37">
        <f>-Proforma!D18*Seasonality!$E$6</f>
        <v>0</v>
      </c>
      <c r="AD18" s="37">
        <f>-Proforma!D18*Seasonality!$E$7</f>
        <v>-13200.255999999999</v>
      </c>
      <c r="AE18" s="37">
        <f>-Proforma!D18*Seasonality!$E$8</f>
        <v>-917.83029999999997</v>
      </c>
      <c r="AF18" s="37">
        <f>-Proforma!D18*Seasonality!$E$9</f>
        <v>0</v>
      </c>
      <c r="AG18" s="37">
        <f>-Proforma!D18*Seasonality!$E$10</f>
        <v>-2371.9209999999998</v>
      </c>
      <c r="AH18" s="37">
        <f>-Proforma!D18*Seasonality!$E$11</f>
        <v>-33392.522599999997</v>
      </c>
      <c r="AI18" s="37">
        <f>-Proforma!D18*Seasonality!$E$12</f>
        <v>-15242.170599999999</v>
      </c>
      <c r="AJ18" s="37">
        <f>-Proforma!D18*Seasonality!$E$13</f>
        <v>-2248.1686</v>
      </c>
      <c r="AK18" s="37">
        <f>-Proforma!D18*Seasonality!$E$14</f>
        <v>-8332.6615999999995</v>
      </c>
      <c r="AL18" s="37">
        <f>-Proforma!E18*Seasonality!$E$3</f>
        <v>-4753.1360000000004</v>
      </c>
      <c r="AM18" s="37">
        <f>-Proforma!E18*Seasonality!$E$4</f>
        <v>-12705.28</v>
      </c>
      <c r="AN18" s="37">
        <f>-Proforma!E18*Seasonality!$E$5</f>
        <v>-12705.28</v>
      </c>
      <c r="AO18" s="37">
        <f>-Proforma!E18*Seasonality!$E$6</f>
        <v>0</v>
      </c>
      <c r="AP18" s="37">
        <f>-Proforma!E18*Seasonality!$E$7</f>
        <v>-14520.32</v>
      </c>
      <c r="AQ18" s="37">
        <f>-Proforma!E18*Seasonality!$E$8</f>
        <v>-1009.616</v>
      </c>
      <c r="AR18" s="37">
        <f>-Proforma!E18*Seasonality!$E$9</f>
        <v>0</v>
      </c>
      <c r="AS18" s="37">
        <f>-Proforma!E18*Seasonality!$E$10</f>
        <v>-2609.12</v>
      </c>
      <c r="AT18" s="37">
        <f>-Proforma!E18*Seasonality!$E$11</f>
        <v>-36731.871999999996</v>
      </c>
      <c r="AU18" s="37">
        <f>-Proforma!E18*Seasonality!$E$12</f>
        <v>-16766.431999999997</v>
      </c>
      <c r="AV18" s="37">
        <f>-Proforma!E18*Seasonality!$E$13</f>
        <v>-2472.9920000000002</v>
      </c>
      <c r="AW18" s="37">
        <f>-Proforma!E18*Seasonality!$E$14</f>
        <v>-9165.9519999999993</v>
      </c>
      <c r="AX18" s="37">
        <f>-Proforma!F18*Seasonality!$E$3</f>
        <v>-5228.4495999999999</v>
      </c>
      <c r="AY18" s="37">
        <f>-Proforma!F18*Seasonality!$E$4</f>
        <v>-13975.808000000001</v>
      </c>
      <c r="AZ18" s="37">
        <f>-Proforma!F18*Seasonality!$E$5</f>
        <v>-13975.808000000001</v>
      </c>
      <c r="BA18" s="37">
        <f>-Proforma!F18*Seasonality!$E$6</f>
        <v>0</v>
      </c>
      <c r="BB18" s="37">
        <f>-Proforma!F18*Seasonality!$E$7</f>
        <v>-15972.352000000001</v>
      </c>
      <c r="BC18" s="37">
        <f>-Proforma!F18*Seasonality!$E$8</f>
        <v>-1110.5776000000001</v>
      </c>
      <c r="BD18" s="37">
        <f>-Proforma!F18*Seasonality!$E$9</f>
        <v>0</v>
      </c>
      <c r="BE18" s="37">
        <f>-Proforma!F18*Seasonality!$E$10</f>
        <v>-2870.0320000000002</v>
      </c>
      <c r="BF18" s="37">
        <f>-Proforma!F18*Seasonality!$E$11</f>
        <v>-40405.059199999996</v>
      </c>
      <c r="BG18" s="37">
        <f>-Proforma!F18*Seasonality!$E$12</f>
        <v>-18443.075199999999</v>
      </c>
      <c r="BH18" s="37">
        <f>-Proforma!F18*Seasonality!$E$13</f>
        <v>-2720.2912000000001</v>
      </c>
      <c r="BI18" s="37">
        <f>-Proforma!F18*Seasonality!$E$14</f>
        <v>-10082.547199999999</v>
      </c>
      <c r="BJ18" s="37">
        <f>-Proforma!G18*Seasonality!$E$3</f>
        <v>-5751.2777999999998</v>
      </c>
      <c r="BK18" s="37">
        <f>-Proforma!G18*Seasonality!$E$4</f>
        <v>-15373.344000000001</v>
      </c>
      <c r="BL18" s="37">
        <f>-Proforma!G18*Seasonality!$E$5</f>
        <v>-15373.344000000001</v>
      </c>
      <c r="BM18" s="37">
        <f>-Proforma!G18*Seasonality!$E$6</f>
        <v>0</v>
      </c>
      <c r="BN18" s="37">
        <f>-Proforma!G18*Seasonality!$E$7</f>
        <v>-17569.536</v>
      </c>
      <c r="BO18" s="37">
        <f>-Proforma!G18*Seasonality!$E$8</f>
        <v>-1221.6317999999999</v>
      </c>
      <c r="BP18" s="37">
        <f>-Proforma!G18*Seasonality!$E$9</f>
        <v>0</v>
      </c>
      <c r="BQ18" s="37">
        <f>-Proforma!G18*Seasonality!$E$10</f>
        <v>-3157.0259999999998</v>
      </c>
      <c r="BR18" s="37">
        <f>-Proforma!G18*Seasonality!$E$11</f>
        <v>-44445.435599999997</v>
      </c>
      <c r="BS18" s="37">
        <f>-Proforma!G18*Seasonality!$E$12</f>
        <v>-20287.3236</v>
      </c>
      <c r="BT18" s="37">
        <f>-Proforma!G18*Seasonality!$E$13</f>
        <v>-2992.3116</v>
      </c>
      <c r="BU18" s="37">
        <f>-Proforma!G18*Seasonality!$E$14</f>
        <v>-11090.7696</v>
      </c>
    </row>
    <row r="19" spans="1:73" x14ac:dyDescent="0.2">
      <c r="A19" s="7" t="s">
        <v>128</v>
      </c>
      <c r="B19" s="37">
        <v>0</v>
      </c>
      <c r="C19" s="37">
        <v>0</v>
      </c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f>-(Proforma!B16+Proforma!B17+Proforma!B19)/5-Proforma!B20</f>
        <v>-16325</v>
      </c>
      <c r="J19" s="37">
        <f>-(Proforma!B16+Proforma!B17+Proforma!B19)/5</f>
        <v>-14000</v>
      </c>
      <c r="K19" s="37">
        <f>-(Proforma!B16+Proforma!B17+Proforma!B19)/5</f>
        <v>-14000</v>
      </c>
      <c r="L19" s="37">
        <f>-(Proforma!B16+Proforma!B17+Proforma!B19)/5</f>
        <v>-14000</v>
      </c>
      <c r="M19" s="37">
        <f>-(Proforma!B16+Proforma!B17+Proforma!B19)/5</f>
        <v>-14000</v>
      </c>
      <c r="N19" s="37">
        <f>-(Proforma!C16+Proforma!C17+Proforma!C19)/12-IF(1=1,Proforma!C20,0)</f>
        <v>-16491.666666666664</v>
      </c>
      <c r="O19" s="37">
        <f>-(Proforma!C16+Proforma!C17+Proforma!C19)/12-IF(2=1,Proforma!C20,0)</f>
        <v>-14166.666666666666</v>
      </c>
      <c r="P19" s="37">
        <f>-(Proforma!C16+Proforma!C17+Proforma!C19)/12-IF(3=1,Proforma!C20,0)</f>
        <v>-14166.666666666666</v>
      </c>
      <c r="Q19" s="37">
        <f>-(Proforma!C16+Proforma!C17+Proforma!C19)/12-IF(4=1,Proforma!C20,0)</f>
        <v>-14166.666666666666</v>
      </c>
      <c r="R19" s="37">
        <f>-(Proforma!C16+Proforma!C17+Proforma!C19)/12-IF(5=1,Proforma!C20,0)</f>
        <v>-14166.666666666666</v>
      </c>
      <c r="S19" s="37">
        <f>-(Proforma!C16+Proforma!C17+Proforma!C19)/12-IF(6=1,Proforma!C20,0)</f>
        <v>-14166.666666666666</v>
      </c>
      <c r="T19" s="37">
        <f>-(Proforma!C16+Proforma!C17+Proforma!C19)/12-IF(7=1,Proforma!C20,0)</f>
        <v>-14166.666666666666</v>
      </c>
      <c r="U19" s="37">
        <f>-(Proforma!C16+Proforma!C17+Proforma!C19)/12-IF(8=1,Proforma!C20,0)</f>
        <v>-14166.666666666666</v>
      </c>
      <c r="V19" s="37">
        <f>-(Proforma!C16+Proforma!C17+Proforma!C19)/12-IF(9=1,Proforma!C20,0)</f>
        <v>-14166.666666666666</v>
      </c>
      <c r="W19" s="37">
        <f>-(Proforma!C16+Proforma!C17+Proforma!C19)/12-IF(10=1,Proforma!C20,0)</f>
        <v>-14166.666666666666</v>
      </c>
      <c r="X19" s="37">
        <f>-(Proforma!C16+Proforma!C17+Proforma!C19)/12-IF(11=1,Proforma!C20,0)</f>
        <v>-14166.666666666666</v>
      </c>
      <c r="Y19" s="37">
        <f>-(Proforma!C16+Proforma!C17+Proforma!C19)/12-IF(12=1,Proforma!C20,0)</f>
        <v>-14166.666666666666</v>
      </c>
      <c r="Z19" s="37">
        <f>-(Proforma!D16+Proforma!D17+Proforma!D19)/12-IF(1=1,Proforma!D20,0)</f>
        <v>-33991.666666666672</v>
      </c>
      <c r="AA19" s="37">
        <f>-(Proforma!D16+Proforma!D17+Proforma!D19)/12-IF(2=1,Proforma!D20,0)</f>
        <v>-31666.666666666668</v>
      </c>
      <c r="AB19" s="37">
        <f>-(Proforma!D16+Proforma!D17+Proforma!D19)/12-IF(3=1,Proforma!D20,0)</f>
        <v>-31666.666666666668</v>
      </c>
      <c r="AC19" s="37">
        <f>-(Proforma!D16+Proforma!D17+Proforma!D19)/12-IF(4=1,Proforma!D20,0)</f>
        <v>-31666.666666666668</v>
      </c>
      <c r="AD19" s="37">
        <f>-(Proforma!D16+Proforma!D17+Proforma!D19)/12-IF(5=1,Proforma!D20,0)</f>
        <v>-31666.666666666668</v>
      </c>
      <c r="AE19" s="37">
        <f>-(Proforma!D16+Proforma!D17+Proforma!D19)/12-IF(6=1,Proforma!D20,0)</f>
        <v>-31666.666666666668</v>
      </c>
      <c r="AF19" s="37">
        <f>-(Proforma!D16+Proforma!D17+Proforma!D19)/12-IF(7=1,Proforma!D20,0)</f>
        <v>-31666.666666666668</v>
      </c>
      <c r="AG19" s="37">
        <f>-(Proforma!D16+Proforma!D17+Proforma!D19)/12-IF(8=1,Proforma!D20,0)</f>
        <v>-31666.666666666668</v>
      </c>
      <c r="AH19" s="37">
        <f>-(Proforma!D16+Proforma!D17+Proforma!D19)/12-IF(9=1,Proforma!D20,0)</f>
        <v>-31666.666666666668</v>
      </c>
      <c r="AI19" s="37">
        <f>-(Proforma!D16+Proforma!D17+Proforma!D19)/12-IF(10=1,Proforma!D20,0)</f>
        <v>-31666.666666666668</v>
      </c>
      <c r="AJ19" s="37">
        <f>-(Proforma!D16+Proforma!D17+Proforma!D19)/12-IF(11=1,Proforma!D20,0)</f>
        <v>-31666.666666666668</v>
      </c>
      <c r="AK19" s="37">
        <f>-(Proforma!D16+Proforma!D17+Proforma!D19)/12-IF(12=1,Proforma!D20,0)</f>
        <v>-31666.666666666668</v>
      </c>
      <c r="AL19" s="37">
        <f>-(Proforma!E16+Proforma!E17+Proforma!E19)/12-IF(1=1,Proforma!E20,0)</f>
        <v>-53158.333333333336</v>
      </c>
      <c r="AM19" s="37">
        <f>-(Proforma!E16+Proforma!E17+Proforma!E19)/12-IF(2=1,Proforma!E20,0)</f>
        <v>-50833.333333333336</v>
      </c>
      <c r="AN19" s="37">
        <f>-(Proforma!E16+Proforma!E17+Proforma!E19)/12-IF(3=1,Proforma!E20,0)</f>
        <v>-50833.333333333336</v>
      </c>
      <c r="AO19" s="37">
        <f>-(Proforma!E16+Proforma!E17+Proforma!E19)/12-IF(4=1,Proforma!E20,0)</f>
        <v>-50833.333333333336</v>
      </c>
      <c r="AP19" s="37">
        <f>-(Proforma!E16+Proforma!E17+Proforma!E19)/12-IF(5=1,Proforma!E20,0)</f>
        <v>-50833.333333333336</v>
      </c>
      <c r="AQ19" s="37">
        <f>-(Proforma!E16+Proforma!E17+Proforma!E19)/12-IF(6=1,Proforma!E20,0)</f>
        <v>-50833.333333333336</v>
      </c>
      <c r="AR19" s="37">
        <f>-(Proforma!E16+Proforma!E17+Proforma!E19)/12-IF(7=1,Proforma!E20,0)</f>
        <v>-50833.333333333336</v>
      </c>
      <c r="AS19" s="37">
        <f>-(Proforma!E16+Proforma!E17+Proforma!E19)/12-IF(8=1,Proforma!E20,0)</f>
        <v>-50833.333333333336</v>
      </c>
      <c r="AT19" s="37">
        <f>-(Proforma!E16+Proforma!E17+Proforma!E19)/12-IF(9=1,Proforma!E20,0)</f>
        <v>-50833.333333333336</v>
      </c>
      <c r="AU19" s="37">
        <f>-(Proforma!E16+Proforma!E17+Proforma!E19)/12-IF(10=1,Proforma!E20,0)</f>
        <v>-50833.333333333336</v>
      </c>
      <c r="AV19" s="37">
        <f>-(Proforma!E16+Proforma!E17+Proforma!E19)/12-IF(11=1,Proforma!E20,0)</f>
        <v>-50833.333333333336</v>
      </c>
      <c r="AW19" s="37">
        <f>-(Proforma!E16+Proforma!E17+Proforma!E19)/12-IF(12=1,Proforma!E20,0)</f>
        <v>-50833.333333333336</v>
      </c>
      <c r="AX19" s="37">
        <f>-(Proforma!F16+Proforma!F17+Proforma!F19)/12-IF(1=1,Proforma!F20,0)</f>
        <v>-69825</v>
      </c>
      <c r="AY19" s="37">
        <f>-(Proforma!F16+Proforma!F17+Proforma!F19)/12-IF(2=1,Proforma!F20,0)</f>
        <v>-67500</v>
      </c>
      <c r="AZ19" s="37">
        <f>-(Proforma!F16+Proforma!F17+Proforma!F19)/12-IF(3=1,Proforma!F20,0)</f>
        <v>-67500</v>
      </c>
      <c r="BA19" s="37">
        <f>-(Proforma!F16+Proforma!F17+Proforma!F19)/12-IF(4=1,Proforma!F20,0)</f>
        <v>-67500</v>
      </c>
      <c r="BB19" s="37">
        <f>-(Proforma!F16+Proforma!F17+Proforma!F19)/12-IF(5=1,Proforma!F20,0)</f>
        <v>-67500</v>
      </c>
      <c r="BC19" s="37">
        <f>-(Proforma!F16+Proforma!F17+Proforma!F19)/12-IF(6=1,Proforma!F20,0)</f>
        <v>-67500</v>
      </c>
      <c r="BD19" s="37">
        <f>-(Proforma!F16+Proforma!F17+Proforma!F19)/12-IF(7=1,Proforma!F20,0)</f>
        <v>-67500</v>
      </c>
      <c r="BE19" s="37">
        <f>-(Proforma!F16+Proforma!F17+Proforma!F19)/12-IF(8=1,Proforma!F20,0)</f>
        <v>-67500</v>
      </c>
      <c r="BF19" s="37">
        <f>-(Proforma!F16+Proforma!F17+Proforma!F19)/12-IF(9=1,Proforma!F20,0)</f>
        <v>-67500</v>
      </c>
      <c r="BG19" s="37">
        <f>-(Proforma!F16+Proforma!F17+Proforma!F19)/12-IF(10=1,Proforma!F20,0)</f>
        <v>-67500</v>
      </c>
      <c r="BH19" s="37">
        <f>-(Proforma!F16+Proforma!F17+Proforma!F19)/12-IF(11=1,Proforma!F20,0)</f>
        <v>-67500</v>
      </c>
      <c r="BI19" s="37">
        <f>-(Proforma!F16+Proforma!F17+Proforma!F19)/12-IF(12=1,Proforma!F20,0)</f>
        <v>-67500</v>
      </c>
      <c r="BJ19" s="37">
        <f>-(Proforma!G16+Proforma!G17+Proforma!G19)/12-IF(1=1,Proforma!G20,0)</f>
        <v>-82325</v>
      </c>
      <c r="BK19" s="37">
        <f>-(Proforma!G16+Proforma!G17+Proforma!G19)/12-IF(2=1,Proforma!G20,0)</f>
        <v>-80000</v>
      </c>
      <c r="BL19" s="37">
        <f>-(Proforma!G16+Proforma!G17+Proforma!G19)/12-IF(3=1,Proforma!G20,0)</f>
        <v>-80000</v>
      </c>
      <c r="BM19" s="37">
        <f>-(Proforma!G16+Proforma!G17+Proforma!G19)/12-IF(4=1,Proforma!G20,0)</f>
        <v>-80000</v>
      </c>
      <c r="BN19" s="37">
        <f>-(Proforma!G16+Proforma!G17+Proforma!G19)/12-IF(5=1,Proforma!G20,0)</f>
        <v>-80000</v>
      </c>
      <c r="BO19" s="37">
        <f>-(Proforma!G16+Proforma!G17+Proforma!G19)/12-IF(6=1,Proforma!G20,0)</f>
        <v>-80000</v>
      </c>
      <c r="BP19" s="37">
        <f>-(Proforma!G16+Proforma!G17+Proforma!G19)/12-IF(7=1,Proforma!G20,0)</f>
        <v>-80000</v>
      </c>
      <c r="BQ19" s="37">
        <f>-(Proforma!G16+Proforma!G17+Proforma!G19)/12-IF(8=1,Proforma!G20,0)</f>
        <v>-80000</v>
      </c>
      <c r="BR19" s="37">
        <f>-(Proforma!G16+Proforma!G17+Proforma!G19)/12-IF(9=1,Proforma!G20,0)</f>
        <v>-80000</v>
      </c>
      <c r="BS19" s="37">
        <f>-(Proforma!G16+Proforma!G17+Proforma!G19)/12-IF(10=1,Proforma!G20,0)</f>
        <v>-80000</v>
      </c>
      <c r="BT19" s="37">
        <f>-(Proforma!G16+Proforma!G17+Proforma!G19)/12-IF(11=1,Proforma!G20,0)</f>
        <v>-80000</v>
      </c>
      <c r="BU19" s="37">
        <f>-(Proforma!G16+Proforma!G17+Proforma!G19)/12-IF(12=1,Proforma!G20,0)</f>
        <v>-80000</v>
      </c>
    </row>
    <row r="20" spans="1:73" x14ac:dyDescent="0.2">
      <c r="A20" s="7" t="s">
        <v>129</v>
      </c>
      <c r="B20" s="37">
        <v>0</v>
      </c>
      <c r="C20" s="37">
        <v>0</v>
      </c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37">
        <f>-Proforma!B21/3</f>
        <v>-40000</v>
      </c>
      <c r="J20" s="37">
        <f>-Proforma!B21/3</f>
        <v>-40000</v>
      </c>
      <c r="K20" s="37">
        <f>-Proforma!B21/3</f>
        <v>-40000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  <c r="AC20" s="37">
        <v>0</v>
      </c>
      <c r="AD20" s="37">
        <v>0</v>
      </c>
      <c r="AE20" s="37">
        <v>0</v>
      </c>
      <c r="AF20" s="37">
        <v>0</v>
      </c>
      <c r="AG20" s="37">
        <v>0</v>
      </c>
      <c r="AH20" s="37">
        <v>0</v>
      </c>
      <c r="AI20" s="37">
        <v>0</v>
      </c>
      <c r="AJ20" s="37">
        <v>0</v>
      </c>
      <c r="AK20" s="37">
        <v>0</v>
      </c>
      <c r="AL20" s="37">
        <v>0</v>
      </c>
      <c r="AM20" s="37">
        <v>0</v>
      </c>
      <c r="AN20" s="37">
        <v>0</v>
      </c>
      <c r="AO20" s="37">
        <v>0</v>
      </c>
      <c r="AP20" s="37">
        <v>0</v>
      </c>
      <c r="AQ20" s="37">
        <v>0</v>
      </c>
      <c r="AR20" s="37">
        <v>0</v>
      </c>
      <c r="AS20" s="37">
        <v>0</v>
      </c>
      <c r="AT20" s="37">
        <v>0</v>
      </c>
      <c r="AU20" s="37">
        <v>0</v>
      </c>
      <c r="AV20" s="37">
        <v>0</v>
      </c>
      <c r="AW20" s="37">
        <v>0</v>
      </c>
      <c r="AX20" s="37">
        <v>0</v>
      </c>
      <c r="AY20" s="37">
        <v>0</v>
      </c>
      <c r="AZ20" s="37">
        <v>0</v>
      </c>
      <c r="BA20" s="37">
        <v>0</v>
      </c>
      <c r="BB20" s="37">
        <v>0</v>
      </c>
      <c r="BC20" s="37">
        <v>0</v>
      </c>
      <c r="BD20" s="37">
        <v>0</v>
      </c>
      <c r="BE20" s="37">
        <v>0</v>
      </c>
      <c r="BF20" s="37">
        <v>0</v>
      </c>
      <c r="BG20" s="37">
        <v>0</v>
      </c>
      <c r="BH20" s="37">
        <v>0</v>
      </c>
      <c r="BI20" s="37">
        <v>0</v>
      </c>
      <c r="BJ20" s="37">
        <v>0</v>
      </c>
      <c r="BK20" s="37">
        <v>0</v>
      </c>
      <c r="BL20" s="37">
        <v>0</v>
      </c>
      <c r="BM20" s="37">
        <v>0</v>
      </c>
      <c r="BN20" s="37">
        <v>0</v>
      </c>
      <c r="BO20" s="37">
        <v>0</v>
      </c>
      <c r="BP20" s="37">
        <v>0</v>
      </c>
      <c r="BQ20" s="37">
        <v>0</v>
      </c>
      <c r="BR20" s="37">
        <v>0</v>
      </c>
      <c r="BS20" s="37">
        <v>0</v>
      </c>
      <c r="BT20" s="37">
        <v>0</v>
      </c>
      <c r="BU20" s="37">
        <v>0</v>
      </c>
    </row>
    <row r="21" spans="1:73" x14ac:dyDescent="0.2">
      <c r="A21" s="7" t="s">
        <v>130</v>
      </c>
      <c r="B21" s="37">
        <v>0</v>
      </c>
      <c r="C21" s="37">
        <v>0</v>
      </c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f>-Proforma!B25/5</f>
        <v>-30000</v>
      </c>
      <c r="J21" s="37">
        <f>-Proforma!B25/5</f>
        <v>-30000</v>
      </c>
      <c r="K21" s="37">
        <f>-Proforma!B25/5</f>
        <v>-30000</v>
      </c>
      <c r="L21" s="37">
        <f>-Proforma!B25/5</f>
        <v>-30000</v>
      </c>
      <c r="M21" s="37">
        <f>-Proforma!B25/5</f>
        <v>-30000</v>
      </c>
      <c r="N21" s="37">
        <f>-Proforma!C25/12</f>
        <v>-26666.666666666668</v>
      </c>
      <c r="O21" s="37">
        <f>-Proforma!C25/12</f>
        <v>-26666.666666666668</v>
      </c>
      <c r="P21" s="37">
        <f>-Proforma!C25/12</f>
        <v>-26666.666666666668</v>
      </c>
      <c r="Q21" s="37">
        <f>-Proforma!C25/12</f>
        <v>-26666.666666666668</v>
      </c>
      <c r="R21" s="37">
        <f>-Proforma!C25/12</f>
        <v>-26666.666666666668</v>
      </c>
      <c r="S21" s="37">
        <f>-Proforma!C25/12</f>
        <v>-26666.666666666668</v>
      </c>
      <c r="T21" s="37">
        <f>-Proforma!C25/12</f>
        <v>-26666.666666666668</v>
      </c>
      <c r="U21" s="37">
        <f>-Proforma!C25/12</f>
        <v>-26666.666666666668</v>
      </c>
      <c r="V21" s="37">
        <f>-Proforma!C25/12</f>
        <v>-26666.666666666668</v>
      </c>
      <c r="W21" s="37">
        <f>-Proforma!C25/12</f>
        <v>-26666.666666666668</v>
      </c>
      <c r="X21" s="37">
        <f>-Proforma!C25/12</f>
        <v>-26666.666666666668</v>
      </c>
      <c r="Y21" s="37">
        <f>-Proforma!C25/12</f>
        <v>-26666.666666666668</v>
      </c>
      <c r="Z21" s="37">
        <f>-Proforma!D25/12</f>
        <v>-48333.333333333336</v>
      </c>
      <c r="AA21" s="37">
        <f>-Proforma!D25/12</f>
        <v>-48333.333333333336</v>
      </c>
      <c r="AB21" s="37">
        <f>-Proforma!D25/12</f>
        <v>-48333.333333333336</v>
      </c>
      <c r="AC21" s="37">
        <f>-Proforma!D25/12</f>
        <v>-48333.333333333336</v>
      </c>
      <c r="AD21" s="37">
        <f>-Proforma!D25/12</f>
        <v>-48333.333333333336</v>
      </c>
      <c r="AE21" s="37">
        <f>-Proforma!D25/12</f>
        <v>-48333.333333333336</v>
      </c>
      <c r="AF21" s="37">
        <f>-Proforma!D25/12</f>
        <v>-48333.333333333336</v>
      </c>
      <c r="AG21" s="37">
        <f>-Proforma!D25/12</f>
        <v>-48333.333333333336</v>
      </c>
      <c r="AH21" s="37">
        <f>-Proforma!D25/12</f>
        <v>-48333.333333333336</v>
      </c>
      <c r="AI21" s="37">
        <f>-Proforma!D25/12</f>
        <v>-48333.333333333336</v>
      </c>
      <c r="AJ21" s="37">
        <f>-Proforma!D25/12</f>
        <v>-48333.333333333336</v>
      </c>
      <c r="AK21" s="37">
        <f>-Proforma!D25/12</f>
        <v>-48333.333333333336</v>
      </c>
      <c r="AL21" s="37">
        <f>-Proforma!E25/12</f>
        <v>-73333.333333333328</v>
      </c>
      <c r="AM21" s="37">
        <f>-Proforma!E25/12</f>
        <v>-73333.333333333328</v>
      </c>
      <c r="AN21" s="37">
        <f>-Proforma!E25/12</f>
        <v>-73333.333333333328</v>
      </c>
      <c r="AO21" s="37">
        <f>-Proforma!E25/12</f>
        <v>-73333.333333333328</v>
      </c>
      <c r="AP21" s="37">
        <f>-Proforma!E25/12</f>
        <v>-73333.333333333328</v>
      </c>
      <c r="AQ21" s="37">
        <f>-Proforma!E25/12</f>
        <v>-73333.333333333328</v>
      </c>
      <c r="AR21" s="37">
        <f>-Proforma!E25/12</f>
        <v>-73333.333333333328</v>
      </c>
      <c r="AS21" s="37">
        <f>-Proforma!E25/12</f>
        <v>-73333.333333333328</v>
      </c>
      <c r="AT21" s="37">
        <f>-Proforma!E25/12</f>
        <v>-73333.333333333328</v>
      </c>
      <c r="AU21" s="37">
        <f>-Proforma!E25/12</f>
        <v>-73333.333333333328</v>
      </c>
      <c r="AV21" s="37">
        <f>-Proforma!E25/12</f>
        <v>-73333.333333333328</v>
      </c>
      <c r="AW21" s="37">
        <f>-Proforma!E25/12</f>
        <v>-73333.333333333328</v>
      </c>
      <c r="AX21" s="37">
        <f>-Proforma!F25/12</f>
        <v>-104166.66666666667</v>
      </c>
      <c r="AY21" s="37">
        <f>-Proforma!F25/12</f>
        <v>-104166.66666666667</v>
      </c>
      <c r="AZ21" s="37">
        <f>-Proforma!F25/12</f>
        <v>-104166.66666666667</v>
      </c>
      <c r="BA21" s="37">
        <f>-Proforma!F25/12</f>
        <v>-104166.66666666667</v>
      </c>
      <c r="BB21" s="37">
        <f>-Proforma!F25/12</f>
        <v>-104166.66666666667</v>
      </c>
      <c r="BC21" s="37">
        <f>-Proforma!F25/12</f>
        <v>-104166.66666666667</v>
      </c>
      <c r="BD21" s="37">
        <f>-Proforma!F25/12</f>
        <v>-104166.66666666667</v>
      </c>
      <c r="BE21" s="37">
        <f>-Proforma!F25/12</f>
        <v>-104166.66666666667</v>
      </c>
      <c r="BF21" s="37">
        <f>-Proforma!F25/12</f>
        <v>-104166.66666666667</v>
      </c>
      <c r="BG21" s="37">
        <f>-Proforma!F25/12</f>
        <v>-104166.66666666667</v>
      </c>
      <c r="BH21" s="37">
        <f>-Proforma!F25/12</f>
        <v>-104166.66666666667</v>
      </c>
      <c r="BI21" s="37">
        <f>-Proforma!F25/12</f>
        <v>-104166.66666666667</v>
      </c>
      <c r="BJ21" s="37">
        <f>-Proforma!G25/12</f>
        <v>-137500</v>
      </c>
      <c r="BK21" s="37">
        <f>-Proforma!G25/12</f>
        <v>-137500</v>
      </c>
      <c r="BL21" s="37">
        <f>-Proforma!G25/12</f>
        <v>-137500</v>
      </c>
      <c r="BM21" s="37">
        <f>-Proforma!G25/12</f>
        <v>-137500</v>
      </c>
      <c r="BN21" s="37">
        <f>-Proforma!G25/12</f>
        <v>-137500</v>
      </c>
      <c r="BO21" s="37">
        <f>-Proforma!G25/12</f>
        <v>-137500</v>
      </c>
      <c r="BP21" s="37">
        <f>-Proforma!G25/12</f>
        <v>-137500</v>
      </c>
      <c r="BQ21" s="37">
        <f>-Proforma!G25/12</f>
        <v>-137500</v>
      </c>
      <c r="BR21" s="37">
        <f>-Proforma!G25/12</f>
        <v>-137500</v>
      </c>
      <c r="BS21" s="37">
        <f>-Proforma!G25/12</f>
        <v>-137500</v>
      </c>
      <c r="BT21" s="37">
        <f>-Proforma!G25/12</f>
        <v>-137500</v>
      </c>
      <c r="BU21" s="37">
        <f>-Proforma!G25/12</f>
        <v>-137500</v>
      </c>
    </row>
    <row r="22" spans="1:73" x14ac:dyDescent="0.2">
      <c r="A22" s="18" t="s">
        <v>131</v>
      </c>
      <c r="B22" s="19">
        <f t="shared" ref="B22:AG22" si="3">SUM(B13:B21)</f>
        <v>0</v>
      </c>
      <c r="C22" s="19">
        <f t="shared" si="3"/>
        <v>0</v>
      </c>
      <c r="D22" s="19">
        <f t="shared" si="3"/>
        <v>0</v>
      </c>
      <c r="E22" s="19">
        <f t="shared" si="3"/>
        <v>0</v>
      </c>
      <c r="F22" s="19">
        <f t="shared" si="3"/>
        <v>0</v>
      </c>
      <c r="G22" s="19">
        <f t="shared" si="3"/>
        <v>0</v>
      </c>
      <c r="H22" s="19">
        <f t="shared" si="3"/>
        <v>0</v>
      </c>
      <c r="I22" s="19">
        <f t="shared" si="3"/>
        <v>-136571.726</v>
      </c>
      <c r="J22" s="19">
        <f t="shared" si="3"/>
        <v>-157858.1672</v>
      </c>
      <c r="K22" s="19">
        <f t="shared" si="3"/>
        <v>-144043.81</v>
      </c>
      <c r="L22" s="19">
        <f t="shared" si="3"/>
        <v>-94152.974000000002</v>
      </c>
      <c r="M22" s="19">
        <f t="shared" si="3"/>
        <v>-98784.322799999994</v>
      </c>
      <c r="N22" s="19">
        <f t="shared" si="3"/>
        <v>-129302.32338333332</v>
      </c>
      <c r="O22" s="19">
        <f t="shared" si="3"/>
        <v>-133742.61983333333</v>
      </c>
      <c r="P22" s="19">
        <f t="shared" si="3"/>
        <v>-134709.02608333333</v>
      </c>
      <c r="Q22" s="19">
        <f t="shared" si="3"/>
        <v>-128654.27083333334</v>
      </c>
      <c r="R22" s="19">
        <f t="shared" si="3"/>
        <v>-144133.58933333334</v>
      </c>
      <c r="S22" s="19">
        <f t="shared" si="3"/>
        <v>-130648.35113333334</v>
      </c>
      <c r="T22" s="19">
        <f t="shared" si="3"/>
        <v>-132133.33333333334</v>
      </c>
      <c r="U22" s="19">
        <f t="shared" si="3"/>
        <v>-131970.25433333335</v>
      </c>
      <c r="V22" s="19">
        <f t="shared" si="3"/>
        <v>-156498.51218333334</v>
      </c>
      <c r="W22" s="19">
        <f t="shared" si="3"/>
        <v>-138645.19143333333</v>
      </c>
      <c r="X22" s="19">
        <f t="shared" si="3"/>
        <v>-125479.47068333335</v>
      </c>
      <c r="Y22" s="19">
        <f t="shared" si="3"/>
        <v>-130817.55743333334</v>
      </c>
      <c r="Z22" s="19">
        <f t="shared" si="3"/>
        <v>-335235.99525833334</v>
      </c>
      <c r="AA22" s="19">
        <f t="shared" si="3"/>
        <v>-340703.0885833333</v>
      </c>
      <c r="AB22" s="19">
        <f t="shared" si="3"/>
        <v>-343517.54170833336</v>
      </c>
      <c r="AC22" s="19">
        <f t="shared" si="3"/>
        <v>-344913.80208333337</v>
      </c>
      <c r="AD22" s="19">
        <f t="shared" si="3"/>
        <v>-368246.08933333337</v>
      </c>
      <c r="AE22" s="19">
        <f t="shared" si="3"/>
        <v>-349208.97613333334</v>
      </c>
      <c r="AF22" s="19">
        <f t="shared" si="3"/>
        <v>-355045.83333333337</v>
      </c>
      <c r="AG22" s="19">
        <f t="shared" si="3"/>
        <v>-350663.06683333335</v>
      </c>
      <c r="AH22" s="19">
        <f t="shared" ref="AH22:BM22" si="4">SUM(AH13:AH21)</f>
        <v>-370988.74655833334</v>
      </c>
      <c r="AI22" s="19">
        <f t="shared" si="4"/>
        <v>-348898.16018333333</v>
      </c>
      <c r="AJ22" s="19">
        <f t="shared" si="4"/>
        <v>-331963.92380833335</v>
      </c>
      <c r="AK22" s="19">
        <f t="shared" si="4"/>
        <v>-337485.52618333331</v>
      </c>
      <c r="AL22" s="19">
        <f t="shared" si="4"/>
        <v>-552591.46933333331</v>
      </c>
      <c r="AM22" s="19">
        <f t="shared" si="4"/>
        <v>-559558.6133333334</v>
      </c>
      <c r="AN22" s="19">
        <f t="shared" si="4"/>
        <v>-566258.6133333334</v>
      </c>
      <c r="AO22" s="19">
        <f t="shared" si="4"/>
        <v>-584373.33333333337</v>
      </c>
      <c r="AP22" s="19">
        <f t="shared" si="4"/>
        <v>-623013.65333333344</v>
      </c>
      <c r="AQ22" s="19">
        <f t="shared" si="4"/>
        <v>-593422.94933333329</v>
      </c>
      <c r="AR22" s="19">
        <f t="shared" si="4"/>
        <v>-608493.33333333337</v>
      </c>
      <c r="AS22" s="19">
        <f t="shared" si="4"/>
        <v>-595022.45333333337</v>
      </c>
      <c r="AT22" s="19">
        <f t="shared" si="4"/>
        <v>-603685.20533333335</v>
      </c>
      <c r="AU22" s="19">
        <f t="shared" si="4"/>
        <v>-574339.76533333329</v>
      </c>
      <c r="AV22" s="19">
        <f t="shared" si="4"/>
        <v>-550666.32533333334</v>
      </c>
      <c r="AW22" s="19">
        <f t="shared" si="4"/>
        <v>-556019.2853333333</v>
      </c>
      <c r="AX22" s="19">
        <f t="shared" si="4"/>
        <v>-818045.25949583342</v>
      </c>
      <c r="AY22" s="19">
        <f t="shared" si="4"/>
        <v>-827194.21945833333</v>
      </c>
      <c r="AZ22" s="19">
        <f t="shared" si="4"/>
        <v>-840827.22727083333</v>
      </c>
      <c r="BA22" s="19">
        <f t="shared" si="4"/>
        <v>-889563.25520833337</v>
      </c>
      <c r="BB22" s="19">
        <f t="shared" si="4"/>
        <v>-954614.43533333333</v>
      </c>
      <c r="BC22" s="19">
        <f t="shared" si="4"/>
        <v>-907033.44218333333</v>
      </c>
      <c r="BD22" s="19">
        <f t="shared" si="4"/>
        <v>-938642.08333333337</v>
      </c>
      <c r="BE22" s="19">
        <f t="shared" si="4"/>
        <v>-908792.89658333338</v>
      </c>
      <c r="BF22" s="19">
        <f t="shared" si="4"/>
        <v>-894522.49409583339</v>
      </c>
      <c r="BG22" s="19">
        <f t="shared" si="4"/>
        <v>-853474.29915833334</v>
      </c>
      <c r="BH22" s="19">
        <f t="shared" si="4"/>
        <v>-818665.30422083335</v>
      </c>
      <c r="BI22" s="19">
        <f t="shared" si="4"/>
        <v>-823300.9586583334</v>
      </c>
      <c r="BJ22" s="19">
        <f t="shared" si="4"/>
        <v>-1113650.7830083333</v>
      </c>
      <c r="BK22" s="19">
        <f t="shared" si="4"/>
        <v>-1125742.7710833335</v>
      </c>
      <c r="BL22" s="19">
        <f t="shared" si="4"/>
        <v>-1149717.3804583335</v>
      </c>
      <c r="BM22" s="19">
        <f t="shared" si="4"/>
        <v>-1244627.2395833335</v>
      </c>
      <c r="BN22" s="19">
        <f t="shared" ref="BN22:CS22" si="5">SUM(BN13:BN21)</f>
        <v>-1348505.3693333336</v>
      </c>
      <c r="BO22" s="19">
        <f t="shared" si="5"/>
        <v>-1274618.4026333336</v>
      </c>
      <c r="BP22" s="19">
        <f t="shared" si="5"/>
        <v>-1330935.8333333335</v>
      </c>
      <c r="BQ22" s="19">
        <f t="shared" si="5"/>
        <v>-1276553.7968333336</v>
      </c>
      <c r="BR22" s="19">
        <f t="shared" si="5"/>
        <v>-1226738.6908083335</v>
      </c>
      <c r="BS22" s="19">
        <f t="shared" si="5"/>
        <v>-1169016.1256833333</v>
      </c>
      <c r="BT22" s="19">
        <f t="shared" si="5"/>
        <v>-1118156.6605583334</v>
      </c>
      <c r="BU22" s="19">
        <f t="shared" si="5"/>
        <v>-1121460.1966833333</v>
      </c>
    </row>
    <row r="24" spans="1:73" x14ac:dyDescent="0.2">
      <c r="A24" s="18" t="s">
        <v>132</v>
      </c>
      <c r="B24" s="19">
        <f t="shared" ref="B24:AG24" si="6">B11+B22</f>
        <v>0</v>
      </c>
      <c r="C24" s="19">
        <f t="shared" si="6"/>
        <v>0</v>
      </c>
      <c r="D24" s="19">
        <f t="shared" si="6"/>
        <v>0</v>
      </c>
      <c r="E24" s="19">
        <f t="shared" si="6"/>
        <v>0</v>
      </c>
      <c r="F24" s="19">
        <f t="shared" si="6"/>
        <v>0</v>
      </c>
      <c r="G24" s="19">
        <f t="shared" si="6"/>
        <v>0</v>
      </c>
      <c r="H24" s="19">
        <f t="shared" si="6"/>
        <v>0</v>
      </c>
      <c r="I24" s="19">
        <f t="shared" si="6"/>
        <v>-136571.726</v>
      </c>
      <c r="J24" s="19">
        <f t="shared" si="6"/>
        <v>-157858.1672</v>
      </c>
      <c r="K24" s="19">
        <f t="shared" si="6"/>
        <v>-144043.81</v>
      </c>
      <c r="L24" s="19">
        <f t="shared" si="6"/>
        <v>-94152.974000000002</v>
      </c>
      <c r="M24" s="19">
        <f t="shared" si="6"/>
        <v>-98784.322799999994</v>
      </c>
      <c r="N24" s="19">
        <f t="shared" si="6"/>
        <v>-62813.573383333322</v>
      </c>
      <c r="O24" s="19">
        <f t="shared" si="6"/>
        <v>-62615.11983333333</v>
      </c>
      <c r="P24" s="19">
        <f t="shared" si="6"/>
        <v>-40387.77608333333</v>
      </c>
      <c r="Q24" s="19">
        <f t="shared" si="6"/>
        <v>72358.229166666657</v>
      </c>
      <c r="R24" s="19">
        <f t="shared" si="6"/>
        <v>140376.41066666666</v>
      </c>
      <c r="S24" s="19">
        <f t="shared" si="6"/>
        <v>98196.648866666656</v>
      </c>
      <c r="T24" s="19">
        <f t="shared" si="6"/>
        <v>152376.66666666666</v>
      </c>
      <c r="U24" s="19">
        <f t="shared" si="6"/>
        <v>96874.745666666655</v>
      </c>
      <c r="V24" s="19">
        <f t="shared" si="6"/>
        <v>-15789.76218333334</v>
      </c>
      <c r="W24" s="19">
        <f t="shared" si="6"/>
        <v>-30407.691433333326</v>
      </c>
      <c r="X24" s="19">
        <f t="shared" si="6"/>
        <v>-49713.220683333348</v>
      </c>
      <c r="Y24" s="19">
        <f t="shared" si="6"/>
        <v>-59690.057433333335</v>
      </c>
      <c r="Z24" s="19">
        <f t="shared" si="6"/>
        <v>-141601.62025833334</v>
      </c>
      <c r="AA24" s="19">
        <f t="shared" si="6"/>
        <v>-133559.3385833333</v>
      </c>
      <c r="AB24" s="19">
        <f t="shared" si="6"/>
        <v>-68826.91670833336</v>
      </c>
      <c r="AC24" s="19">
        <f t="shared" si="6"/>
        <v>240492.44791666663</v>
      </c>
      <c r="AD24" s="19">
        <f t="shared" si="6"/>
        <v>460328.91066666663</v>
      </c>
      <c r="AE24" s="19">
        <f t="shared" si="6"/>
        <v>317253.52386666666</v>
      </c>
      <c r="AF24" s="19">
        <f t="shared" si="6"/>
        <v>473529.16666666663</v>
      </c>
      <c r="AG24" s="19">
        <f t="shared" si="6"/>
        <v>315799.43316666665</v>
      </c>
      <c r="AH24" s="19">
        <f t="shared" ref="AH24:BM24" si="7">AH11+AH22</f>
        <v>38795.62844166666</v>
      </c>
      <c r="AI24" s="19">
        <f t="shared" si="7"/>
        <v>-33679.410183333326</v>
      </c>
      <c r="AJ24" s="19">
        <f t="shared" si="7"/>
        <v>-111310.79880833335</v>
      </c>
      <c r="AK24" s="19">
        <f t="shared" si="7"/>
        <v>-130341.77618333331</v>
      </c>
      <c r="AL24" s="19">
        <f t="shared" si="7"/>
        <v>-91631.469333333371</v>
      </c>
      <c r="AM24" s="19">
        <f t="shared" si="7"/>
        <v>-66438.613333333458</v>
      </c>
      <c r="AN24" s="19">
        <f t="shared" si="7"/>
        <v>87661.386666666484</v>
      </c>
      <c r="AO24" s="19">
        <f t="shared" si="7"/>
        <v>809226.6666666664</v>
      </c>
      <c r="AP24" s="19">
        <f t="shared" si="7"/>
        <v>1349466.3466666662</v>
      </c>
      <c r="AQ24" s="19">
        <f t="shared" si="7"/>
        <v>993137.05066666647</v>
      </c>
      <c r="AR24" s="19">
        <f t="shared" si="7"/>
        <v>1363986.6666666665</v>
      </c>
      <c r="AS24" s="19">
        <f t="shared" si="7"/>
        <v>991537.5466666664</v>
      </c>
      <c r="AT24" s="19">
        <f t="shared" si="7"/>
        <v>371834.79466666642</v>
      </c>
      <c r="AU24" s="19">
        <f t="shared" si="7"/>
        <v>176060.2346666666</v>
      </c>
      <c r="AV24" s="19">
        <f t="shared" si="7"/>
        <v>-25386.325333333458</v>
      </c>
      <c r="AW24" s="19">
        <f t="shared" si="7"/>
        <v>-62899.285333333362</v>
      </c>
      <c r="AX24" s="19">
        <f t="shared" si="7"/>
        <v>119905.67800416658</v>
      </c>
      <c r="AY24" s="19">
        <f t="shared" si="7"/>
        <v>176195.15554166667</v>
      </c>
      <c r="AZ24" s="19">
        <f t="shared" si="7"/>
        <v>489754.33522916667</v>
      </c>
      <c r="BA24" s="19">
        <f t="shared" si="7"/>
        <v>1946102.3697916665</v>
      </c>
      <c r="BB24" s="19">
        <f t="shared" si="7"/>
        <v>3058943.0646666666</v>
      </c>
      <c r="BC24" s="19">
        <f t="shared" si="7"/>
        <v>2321262.8078166666</v>
      </c>
      <c r="BD24" s="19">
        <f t="shared" si="7"/>
        <v>3074915.4166666665</v>
      </c>
      <c r="BE24" s="19">
        <f t="shared" si="7"/>
        <v>2319503.3534166664</v>
      </c>
      <c r="BF24" s="19">
        <f t="shared" si="7"/>
        <v>1090443.4434041665</v>
      </c>
      <c r="BG24" s="19">
        <f t="shared" si="7"/>
        <v>673422.57584166666</v>
      </c>
      <c r="BH24" s="19">
        <f t="shared" si="7"/>
        <v>250162.50827916665</v>
      </c>
      <c r="BI24" s="19">
        <f t="shared" si="7"/>
        <v>180088.4163416666</v>
      </c>
      <c r="BJ24" s="19">
        <f t="shared" si="7"/>
        <v>535802.3419916667</v>
      </c>
      <c r="BK24" s="19">
        <f t="shared" si="7"/>
        <v>638788.47891666647</v>
      </c>
      <c r="BL24" s="19">
        <f t="shared" si="7"/>
        <v>1190204.4945416665</v>
      </c>
      <c r="BM24" s="19">
        <f t="shared" si="7"/>
        <v>3742091.5104166665</v>
      </c>
      <c r="BN24" s="19">
        <f t="shared" ref="BN24:BU24" si="8">BN11+BN22</f>
        <v>5709619.6306666667</v>
      </c>
      <c r="BO24" s="19">
        <f t="shared" si="8"/>
        <v>4402569.0973666664</v>
      </c>
      <c r="BP24" s="19">
        <f t="shared" si="8"/>
        <v>5727189.166666666</v>
      </c>
      <c r="BQ24" s="19">
        <f t="shared" si="8"/>
        <v>4400633.7031666664</v>
      </c>
      <c r="BR24" s="19">
        <f t="shared" si="8"/>
        <v>2263964.4341916665</v>
      </c>
      <c r="BS24" s="19">
        <f t="shared" si="8"/>
        <v>1516140.1243166667</v>
      </c>
      <c r="BT24" s="19">
        <f t="shared" si="8"/>
        <v>761452.71444166661</v>
      </c>
      <c r="BU24" s="19">
        <f t="shared" si="8"/>
        <v>643071.05331666674</v>
      </c>
    </row>
    <row r="25" spans="1:73" x14ac:dyDescent="0.2">
      <c r="A25" s="18" t="s">
        <v>133</v>
      </c>
      <c r="B25" s="19">
        <f>B24</f>
        <v>0</v>
      </c>
      <c r="C25" s="19">
        <f t="shared" ref="C25:AH25" si="9">B25+C24</f>
        <v>0</v>
      </c>
      <c r="D25" s="19">
        <f t="shared" si="9"/>
        <v>0</v>
      </c>
      <c r="E25" s="19">
        <f t="shared" si="9"/>
        <v>0</v>
      </c>
      <c r="F25" s="19">
        <f t="shared" si="9"/>
        <v>0</v>
      </c>
      <c r="G25" s="19">
        <f t="shared" si="9"/>
        <v>0</v>
      </c>
      <c r="H25" s="19">
        <f t="shared" si="9"/>
        <v>0</v>
      </c>
      <c r="I25" s="19">
        <f t="shared" si="9"/>
        <v>-136571.726</v>
      </c>
      <c r="J25" s="19">
        <f t="shared" si="9"/>
        <v>-294429.89319999999</v>
      </c>
      <c r="K25" s="19">
        <f t="shared" si="9"/>
        <v>-438473.70319999999</v>
      </c>
      <c r="L25" s="19">
        <f t="shared" si="9"/>
        <v>-532626.67720000003</v>
      </c>
      <c r="M25" s="19">
        <f t="shared" si="9"/>
        <v>-631411</v>
      </c>
      <c r="N25" s="19">
        <f t="shared" si="9"/>
        <v>-694224.57338333328</v>
      </c>
      <c r="O25" s="19">
        <f t="shared" si="9"/>
        <v>-756839.69321666658</v>
      </c>
      <c r="P25" s="19">
        <f t="shared" si="9"/>
        <v>-797227.46929999988</v>
      </c>
      <c r="Q25" s="19">
        <f t="shared" si="9"/>
        <v>-724869.24013333325</v>
      </c>
      <c r="R25" s="19">
        <f t="shared" si="9"/>
        <v>-584492.82946666656</v>
      </c>
      <c r="S25" s="19">
        <f t="shared" si="9"/>
        <v>-486296.18059999991</v>
      </c>
      <c r="T25" s="19">
        <f t="shared" si="9"/>
        <v>-333919.51393333322</v>
      </c>
      <c r="U25" s="19">
        <f t="shared" si="9"/>
        <v>-237044.76826666656</v>
      </c>
      <c r="V25" s="19">
        <f t="shared" si="9"/>
        <v>-252834.5304499999</v>
      </c>
      <c r="W25" s="19">
        <f t="shared" si="9"/>
        <v>-283242.22188333323</v>
      </c>
      <c r="X25" s="19">
        <f t="shared" si="9"/>
        <v>-332955.44256666658</v>
      </c>
      <c r="Y25" s="19">
        <f t="shared" si="9"/>
        <v>-392645.49999999988</v>
      </c>
      <c r="Z25" s="19">
        <f t="shared" si="9"/>
        <v>-534247.12025833316</v>
      </c>
      <c r="AA25" s="19">
        <f t="shared" si="9"/>
        <v>-667806.45884166646</v>
      </c>
      <c r="AB25" s="19">
        <f t="shared" si="9"/>
        <v>-736633.37554999976</v>
      </c>
      <c r="AC25" s="19">
        <f t="shared" si="9"/>
        <v>-496140.92763333314</v>
      </c>
      <c r="AD25" s="19">
        <f t="shared" si="9"/>
        <v>-35812.016966666502</v>
      </c>
      <c r="AE25" s="19">
        <f t="shared" si="9"/>
        <v>281441.50690000015</v>
      </c>
      <c r="AF25" s="19">
        <f t="shared" si="9"/>
        <v>754970.67356666678</v>
      </c>
      <c r="AG25" s="19">
        <f t="shared" si="9"/>
        <v>1070770.1067333333</v>
      </c>
      <c r="AH25" s="19">
        <f t="shared" si="9"/>
        <v>1109565.735175</v>
      </c>
      <c r="AI25" s="19">
        <f t="shared" ref="AI25:BN25" si="10">AH25+AI24</f>
        <v>1075886.3249916667</v>
      </c>
      <c r="AJ25" s="19">
        <f t="shared" si="10"/>
        <v>964575.52618333336</v>
      </c>
      <c r="AK25" s="19">
        <f t="shared" si="10"/>
        <v>834233.75</v>
      </c>
      <c r="AL25" s="19">
        <f t="shared" si="10"/>
        <v>742602.28066666657</v>
      </c>
      <c r="AM25" s="19">
        <f t="shared" si="10"/>
        <v>676163.66733333305</v>
      </c>
      <c r="AN25" s="19">
        <f t="shared" si="10"/>
        <v>763825.05399999954</v>
      </c>
      <c r="AO25" s="19">
        <f t="shared" si="10"/>
        <v>1573051.720666666</v>
      </c>
      <c r="AP25" s="19">
        <f t="shared" si="10"/>
        <v>2922518.0673333323</v>
      </c>
      <c r="AQ25" s="19">
        <f t="shared" si="10"/>
        <v>3915655.1179999989</v>
      </c>
      <c r="AR25" s="19">
        <f t="shared" si="10"/>
        <v>5279641.7846666649</v>
      </c>
      <c r="AS25" s="19">
        <f t="shared" si="10"/>
        <v>6271179.3313333318</v>
      </c>
      <c r="AT25" s="19">
        <f t="shared" si="10"/>
        <v>6643014.1259999983</v>
      </c>
      <c r="AU25" s="19">
        <f t="shared" si="10"/>
        <v>6819074.3606666652</v>
      </c>
      <c r="AV25" s="19">
        <f t="shared" si="10"/>
        <v>6793688.0353333317</v>
      </c>
      <c r="AW25" s="19">
        <f t="shared" si="10"/>
        <v>6730788.7499999981</v>
      </c>
      <c r="AX25" s="19">
        <f t="shared" si="10"/>
        <v>6850694.4280041642</v>
      </c>
      <c r="AY25" s="19">
        <f t="shared" si="10"/>
        <v>7026889.583545831</v>
      </c>
      <c r="AZ25" s="19">
        <f t="shared" si="10"/>
        <v>7516643.9187749978</v>
      </c>
      <c r="BA25" s="19">
        <f t="shared" si="10"/>
        <v>9462746.2885666639</v>
      </c>
      <c r="BB25" s="19">
        <f t="shared" si="10"/>
        <v>12521689.35323333</v>
      </c>
      <c r="BC25" s="19">
        <f t="shared" si="10"/>
        <v>14842952.161049996</v>
      </c>
      <c r="BD25" s="19">
        <f t="shared" si="10"/>
        <v>17917867.577716663</v>
      </c>
      <c r="BE25" s="19">
        <f t="shared" si="10"/>
        <v>20237370.93113333</v>
      </c>
      <c r="BF25" s="19">
        <f t="shared" si="10"/>
        <v>21327814.374537498</v>
      </c>
      <c r="BG25" s="19">
        <f t="shared" si="10"/>
        <v>22001236.950379163</v>
      </c>
      <c r="BH25" s="19">
        <f t="shared" si="10"/>
        <v>22251399.45865833</v>
      </c>
      <c r="BI25" s="19">
        <f t="shared" si="10"/>
        <v>22431487.874999996</v>
      </c>
      <c r="BJ25" s="19">
        <f t="shared" si="10"/>
        <v>22967290.216991663</v>
      </c>
      <c r="BK25" s="19">
        <f t="shared" si="10"/>
        <v>23606078.69590833</v>
      </c>
      <c r="BL25" s="19">
        <f t="shared" si="10"/>
        <v>24796283.190449998</v>
      </c>
      <c r="BM25" s="19">
        <f t="shared" si="10"/>
        <v>28538374.700866666</v>
      </c>
      <c r="BN25" s="19">
        <f t="shared" si="10"/>
        <v>34247994.331533335</v>
      </c>
      <c r="BO25" s="19">
        <f t="shared" ref="BO25:CT25" si="11">BN25+BO24</f>
        <v>38650563.428900003</v>
      </c>
      <c r="BP25" s="19">
        <f t="shared" si="11"/>
        <v>44377752.595566668</v>
      </c>
      <c r="BQ25" s="19">
        <f t="shared" si="11"/>
        <v>48778386.298733331</v>
      </c>
      <c r="BR25" s="19">
        <f t="shared" si="11"/>
        <v>51042350.732924998</v>
      </c>
      <c r="BS25" s="19">
        <f t="shared" si="11"/>
        <v>52558490.857241668</v>
      </c>
      <c r="BT25" s="19">
        <f t="shared" si="11"/>
        <v>53319943.571683332</v>
      </c>
      <c r="BU25" s="19">
        <f t="shared" si="11"/>
        <v>53963014.625</v>
      </c>
    </row>
    <row r="26" spans="1:73" x14ac:dyDescent="0.2">
      <c r="A26" s="18" t="inlineStr">
        <is>
          <t>CASH ON HAND (incl. investment)</t>
        </is>
      </c>
      <c r="B26" s="19">
        <f>Proforma!$J$18+B25</f>
      </c>
      <c r="C26" s="19">
        <f>Proforma!$J$18+C25</f>
      </c>
      <c r="D26" s="19">
        <f>Proforma!$J$18+D25</f>
      </c>
      <c r="E26" s="19">
        <f>Proforma!$J$18+E25</f>
      </c>
      <c r="F26" s="19">
        <f>Proforma!$J$18+F25</f>
      </c>
      <c r="G26" s="19">
        <f>Proforma!$J$18+G25</f>
      </c>
      <c r="H26" s="19">
        <f>Proforma!$J$18+H25</f>
      </c>
      <c r="I26" s="19">
        <f>Proforma!$J$18+I25</f>
      </c>
      <c r="J26" s="19">
        <f>Proforma!$J$18+J25</f>
      </c>
      <c r="K26" s="19">
        <f>Proforma!$J$18+K25</f>
      </c>
      <c r="L26" s="19">
        <f>Proforma!$J$18+L25</f>
      </c>
      <c r="M26" s="19">
        <f>Proforma!$J$18+M25</f>
      </c>
      <c r="N26" s="19">
        <f>Proforma!$J$18+N25</f>
      </c>
      <c r="O26" s="19">
        <f>Proforma!$J$18+O25</f>
      </c>
      <c r="P26" s="19">
        <f>Proforma!$J$18+P25</f>
      </c>
      <c r="Q26" s="19">
        <f>Proforma!$J$18+Q25</f>
      </c>
      <c r="R26" s="19">
        <f>Proforma!$J$18+R25</f>
      </c>
      <c r="S26" s="19">
        <f>Proforma!$J$18+S25</f>
      </c>
      <c r="T26" s="19">
        <f>Proforma!$J$18+T25</f>
      </c>
      <c r="U26" s="19">
        <f>Proforma!$J$18+U25</f>
      </c>
      <c r="V26" s="19">
        <f>Proforma!$J$18+V25</f>
      </c>
      <c r="W26" s="19">
        <f>Proforma!$J$18+W25</f>
      </c>
      <c r="X26" s="19">
        <f>Proforma!$J$18+X25</f>
      </c>
      <c r="Y26" s="19">
        <f>Proforma!$J$18+Y25</f>
      </c>
      <c r="Z26" s="19">
        <f>Proforma!$J$18+Z25</f>
      </c>
      <c r="AA26" s="19">
        <f>Proforma!$J$18+AA25</f>
      </c>
      <c r="AB26" s="19">
        <f>Proforma!$J$18+AB25</f>
      </c>
      <c r="AC26" s="19">
        <f>Proforma!$J$18+AC25</f>
      </c>
      <c r="AD26" s="19">
        <f>Proforma!$J$18+AD25</f>
      </c>
      <c r="AE26" s="19">
        <f>Proforma!$J$18+AE25</f>
      </c>
      <c r="AF26" s="19">
        <f>Proforma!$J$18+AF25</f>
      </c>
      <c r="AG26" s="19">
        <f>Proforma!$J$18+AG25</f>
      </c>
      <c r="AH26" s="19">
        <f>Proforma!$J$18+AH25</f>
      </c>
      <c r="AI26" s="19">
        <f>Proforma!$J$18+AI25</f>
      </c>
      <c r="AJ26" s="19">
        <f>Proforma!$J$18+AJ25</f>
      </c>
      <c r="AK26" s="19">
        <f>Proforma!$J$18+AK25</f>
      </c>
      <c r="AL26" s="19">
        <f>Proforma!$J$18+AL25</f>
      </c>
      <c r="AM26" s="19">
        <f>Proforma!$J$18+AM25</f>
      </c>
      <c r="AN26" s="19">
        <f>Proforma!$J$18+AN25</f>
      </c>
      <c r="AO26" s="19">
        <f>Proforma!$J$18+AO25</f>
      </c>
      <c r="AP26" s="19">
        <f>Proforma!$J$18+AP25</f>
      </c>
      <c r="AQ26" s="19">
        <f>Proforma!$J$18+AQ25</f>
      </c>
      <c r="AR26" s="19">
        <f>Proforma!$J$18+AR25</f>
      </c>
      <c r="AS26" s="19">
        <f>Proforma!$J$18+AS25</f>
      </c>
      <c r="AT26" s="19">
        <f>Proforma!$J$18+AT25</f>
      </c>
      <c r="AU26" s="19">
        <f>Proforma!$J$18+AU25</f>
      </c>
      <c r="AV26" s="19">
        <f>Proforma!$J$18+AV25</f>
      </c>
      <c r="AW26" s="19">
        <f>Proforma!$J$18+AW25</f>
      </c>
      <c r="AX26" s="19">
        <f>Proforma!$J$18+AX25</f>
      </c>
      <c r="AY26" s="19">
        <f>Proforma!$J$18+AY25</f>
      </c>
      <c r="AZ26" s="19">
        <f>Proforma!$J$18+AZ25</f>
      </c>
      <c r="BA26" s="19">
        <f>Proforma!$J$18+BA25</f>
      </c>
      <c r="BB26" s="19">
        <f>Proforma!$J$18+BB25</f>
      </c>
      <c r="BC26" s="19">
        <f>Proforma!$J$18+BC25</f>
      </c>
      <c r="BD26" s="19">
        <f>Proforma!$J$18+BD25</f>
      </c>
      <c r="BE26" s="19">
        <f>Proforma!$J$18+BE25</f>
      </c>
      <c r="BF26" s="19">
        <f>Proforma!$J$18+BF25</f>
      </c>
      <c r="BG26" s="19">
        <f>Proforma!$J$18+BG25</f>
      </c>
      <c r="BH26" s="19">
        <f>Proforma!$J$18+BH25</f>
      </c>
      <c r="BI26" s="19">
        <f>Proforma!$J$18+BI25</f>
      </c>
      <c r="BJ26" s="19">
        <f>Proforma!$J$18+BJ25</f>
      </c>
      <c r="BK26" s="19">
        <f>Proforma!$J$18+BK25</f>
      </c>
      <c r="BL26" s="19">
        <f>Proforma!$J$18+BL25</f>
      </c>
      <c r="BM26" s="19">
        <f>Proforma!$J$18+BM25</f>
      </c>
      <c r="BN26" s="19">
        <f>Proforma!$J$18+BN25</f>
      </c>
      <c r="BO26" s="19">
        <f>Proforma!$J$18+BO25</f>
      </c>
      <c r="BP26" s="19">
        <f>Proforma!$J$18+BP25</f>
      </c>
      <c r="BQ26" s="19">
        <f>Proforma!$J$18+BQ25</f>
      </c>
      <c r="BR26" s="19">
        <f>Proforma!$J$18+BR25</f>
      </c>
      <c r="BS26" s="19">
        <f>Proforma!$J$18+BS25</f>
      </c>
      <c r="BT26" s="19">
        <f>Proforma!$J$18+BT25</f>
      </c>
      <c r="BU26" s="19">
        <f>Proforma!$J$18+BU25</f>
      </c>
    </row>
    <row r="27" spans="1:73" x14ac:dyDescent="0.2">
      <c r="A27" s="18" t="s">
        <v>134</v>
      </c>
      <c r="B27" s="29">
        <f>-MIN(B25:BU25)</f>
        <v>797227.46929999988</v>
      </c>
    </row>
    <row r="28" spans="1:73" x14ac:dyDescent="0.2">
      <c r="A28" s="7" t="s">
        <v>135</v>
      </c>
      <c r="B28" t="str">
        <f>INDEX(5:5,1,MATCH(MIN(B25:BU25),B25:BU25,0)+1)&amp;" "&amp;INDEX(4:4,1,12*INT((MATCH(MIN(B25:BU25),B25:BU25,0)-1)/12)+2)</f>
        <v>Mar 2027</v>
      </c>
    </row>
  </sheetData>
  <mergeCells count="6">
    <mergeCell ref="BJ4:BU4"/>
    <mergeCell ref="B4:M4"/>
    <mergeCell ref="N4:Y4"/>
    <mergeCell ref="Z4:AK4"/>
    <mergeCell ref="AL4:AW4"/>
    <mergeCell ref="AX4:BI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9"/>
  <sheetViews>
    <sheetView zoomScaleNormal="100" workbookViewId="0"/>
  </sheetViews>
  <sheetFormatPr baseColWidth="10" defaultColWidth="8.6640625" defaultRowHeight="15" x14ac:dyDescent="0.2"/>
  <cols>
    <col min="1" max="1" width="34" customWidth="1"/>
    <col min="2" max="2" width="9" customWidth="1"/>
    <col min="4" max="4" width="15" customWidth="1"/>
    <col min="5" max="5" width="16" customWidth="1"/>
    <col min="6" max="6" width="20" customWidth="1"/>
    <col min="7" max="7" width="42" customWidth="1"/>
    <col min="8" max="8" width="11" customWidth="1"/>
    <col min="9" max="9" width="9" customWidth="1"/>
    <col min="10" max="10" width="6" customWidth="1"/>
    <col min="11" max="11" width="7" customWidth="1"/>
    <col min="12" max="12" width="10" customWidth="1"/>
    <col min="15" max="15" width="12" customWidth="1"/>
    <col min="16" max="16" width="24" customWidth="1"/>
  </cols>
  <sheetData>
    <row r="1" spans="1:16" ht="46" customHeight="1" x14ac:dyDescent="0.2">
      <c r="A1" s="2"/>
    </row>
    <row r="2" spans="1:16" ht="15" customHeight="1" x14ac:dyDescent="0.2">
      <c r="A2" s="2" t="s">
        <v>136</v>
      </c>
    </row>
    <row r="3" spans="1:16" x14ac:dyDescent="0.2">
      <c r="A3" s="3" t="s">
        <v>137</v>
      </c>
    </row>
    <row r="4" spans="1:16" ht="15" customHeight="1" x14ac:dyDescent="0.2">
      <c r="A4" s="18" t="s">
        <v>138</v>
      </c>
    </row>
    <row r="5" spans="1:16" ht="15" customHeight="1" x14ac:dyDescent="0.2">
      <c r="A5" s="7" t="s">
        <v>139</v>
      </c>
      <c r="B5" s="38">
        <v>3</v>
      </c>
    </row>
    <row r="6" spans="1:16" ht="15" customHeight="1" x14ac:dyDescent="0.2">
      <c r="A6" s="7" t="s">
        <v>140</v>
      </c>
      <c r="B6" s="38">
        <v>2</v>
      </c>
    </row>
    <row r="7" spans="1:16" ht="15" customHeight="1" x14ac:dyDescent="0.2">
      <c r="A7" s="7" t="s">
        <v>141</v>
      </c>
      <c r="B7" s="39">
        <v>160</v>
      </c>
    </row>
    <row r="8" spans="1:16" ht="15" customHeight="1" x14ac:dyDescent="0.2">
      <c r="A8" s="7" t="s">
        <v>142</v>
      </c>
      <c r="B8" s="39">
        <v>40</v>
      </c>
    </row>
    <row r="9" spans="1:16" ht="15" customHeight="1" x14ac:dyDescent="0.2">
      <c r="A9" s="7" t="s">
        <v>143</v>
      </c>
      <c r="B9" s="40">
        <v>0.7</v>
      </c>
    </row>
    <row r="10" spans="1:16" ht="15" customHeight="1" x14ac:dyDescent="0.2">
      <c r="A10" s="7" t="s">
        <v>144</v>
      </c>
      <c r="B10" s="41">
        <f>ROUNDUP(B5/B6,0)</f>
        <v>2</v>
      </c>
    </row>
    <row r="12" spans="1:16" ht="15" customHeight="1" x14ac:dyDescent="0.2">
      <c r="A12" s="42" t="s">
        <v>145</v>
      </c>
      <c r="B12" s="43" t="s">
        <v>146</v>
      </c>
      <c r="C12" s="43" t="s">
        <v>147</v>
      </c>
      <c r="D12" s="43" t="s">
        <v>148</v>
      </c>
      <c r="E12" s="43" t="s">
        <v>149</v>
      </c>
      <c r="F12" s="43" t="s">
        <v>150</v>
      </c>
      <c r="G12" s="43" t="s">
        <v>151</v>
      </c>
      <c r="H12" s="43" t="s">
        <v>152</v>
      </c>
      <c r="I12" s="43" t="s">
        <v>153</v>
      </c>
      <c r="J12" s="43" t="s">
        <v>154</v>
      </c>
      <c r="K12" s="43" t="s">
        <v>155</v>
      </c>
      <c r="L12" s="43" t="s">
        <v>156</v>
      </c>
      <c r="M12" s="43" t="s">
        <v>157</v>
      </c>
      <c r="N12" s="43" t="s">
        <v>158</v>
      </c>
      <c r="O12" s="43" t="s">
        <v>159</v>
      </c>
      <c r="P12" s="43" t="s">
        <v>160</v>
      </c>
    </row>
    <row r="13" spans="1:16" ht="15" customHeight="1" x14ac:dyDescent="0.2">
      <c r="A13" s="7" t="s">
        <v>161</v>
      </c>
      <c r="B13" s="44" t="s">
        <v>162</v>
      </c>
      <c r="C13" s="45" t="s">
        <v>163</v>
      </c>
      <c r="D13" s="7" t="s">
        <v>164</v>
      </c>
      <c r="E13" s="7" t="s">
        <v>165</v>
      </c>
      <c r="F13" s="7" t="s">
        <v>166</v>
      </c>
      <c r="G13" s="46" t="s">
        <v>167</v>
      </c>
      <c r="H13" s="39">
        <v>500</v>
      </c>
      <c r="I13" s="38">
        <v>940</v>
      </c>
      <c r="J13" s="38">
        <v>3</v>
      </c>
      <c r="K13" s="38">
        <v>2</v>
      </c>
      <c r="L13" s="47">
        <f t="shared" ref="L13:L30" si="0">I13*$B$9</f>
        <v>658</v>
      </c>
      <c r="M13" s="47">
        <f t="shared" ref="M13:M30" si="1">K13*$B$10*$B$7</f>
        <v>640</v>
      </c>
      <c r="N13" s="47">
        <f t="shared" ref="N13:N30" si="2">J13*$B$5*$B$8</f>
        <v>360</v>
      </c>
      <c r="O13" s="34">
        <f t="shared" ref="O13:O30" si="3">IF($B13="Y",H13+L13+M13+N13,0)</f>
        <v>2158</v>
      </c>
      <c r="P13" s="20" t="s">
        <v>168</v>
      </c>
    </row>
    <row r="14" spans="1:16" ht="23.25" customHeight="1" x14ac:dyDescent="0.2">
      <c r="A14" s="7" t="s">
        <v>169</v>
      </c>
      <c r="B14" s="44" t="s">
        <v>162</v>
      </c>
      <c r="C14" s="45" t="s">
        <v>163</v>
      </c>
      <c r="D14" s="7" t="s">
        <v>170</v>
      </c>
      <c r="E14" s="7" t="s">
        <v>171</v>
      </c>
      <c r="F14" s="7" t="s">
        <v>172</v>
      </c>
      <c r="G14" s="46" t="s">
        <v>173</v>
      </c>
      <c r="H14" s="39">
        <v>4500</v>
      </c>
      <c r="I14" s="38">
        <v>1300</v>
      </c>
      <c r="J14" s="38">
        <v>5</v>
      </c>
      <c r="K14" s="38">
        <v>4</v>
      </c>
      <c r="L14" s="47">
        <f t="shared" si="0"/>
        <v>909.99999999999989</v>
      </c>
      <c r="M14" s="47">
        <f t="shared" si="1"/>
        <v>1280</v>
      </c>
      <c r="N14" s="47">
        <f t="shared" si="2"/>
        <v>600</v>
      </c>
      <c r="O14" s="34">
        <f t="shared" si="3"/>
        <v>7290</v>
      </c>
      <c r="P14" s="20" t="s">
        <v>174</v>
      </c>
    </row>
    <row r="15" spans="1:16" ht="15" customHeight="1" x14ac:dyDescent="0.2">
      <c r="A15" s="7" t="s">
        <v>175</v>
      </c>
      <c r="B15" s="44" t="s">
        <v>162</v>
      </c>
      <c r="C15" s="45" t="s">
        <v>176</v>
      </c>
      <c r="D15" s="7" t="s">
        <v>170</v>
      </c>
      <c r="E15" s="7" t="s">
        <v>177</v>
      </c>
      <c r="F15" s="7" t="s">
        <v>178</v>
      </c>
      <c r="G15" s="46" t="s">
        <v>179</v>
      </c>
      <c r="H15" s="39">
        <v>6000</v>
      </c>
      <c r="I15" s="38">
        <v>1500</v>
      </c>
      <c r="J15" s="38">
        <v>5</v>
      </c>
      <c r="K15" s="38">
        <v>4</v>
      </c>
      <c r="L15" s="47">
        <f t="shared" si="0"/>
        <v>1050</v>
      </c>
      <c r="M15" s="47">
        <f t="shared" si="1"/>
        <v>1280</v>
      </c>
      <c r="N15" s="47">
        <f t="shared" si="2"/>
        <v>600</v>
      </c>
      <c r="O15" s="34">
        <f t="shared" si="3"/>
        <v>8930</v>
      </c>
      <c r="P15" s="20" t="s">
        <v>180</v>
      </c>
    </row>
    <row r="16" spans="1:16" ht="15" customHeight="1" x14ac:dyDescent="0.2">
      <c r="A16" s="7" t="s">
        <v>181</v>
      </c>
      <c r="B16" s="44" t="s">
        <v>162</v>
      </c>
      <c r="C16" s="45" t="s">
        <v>176</v>
      </c>
      <c r="D16" s="7" t="s">
        <v>182</v>
      </c>
      <c r="E16" s="7" t="s">
        <v>183</v>
      </c>
      <c r="F16" s="7" t="s">
        <v>184</v>
      </c>
      <c r="G16" s="46" t="s">
        <v>185</v>
      </c>
      <c r="H16" s="39">
        <v>4000</v>
      </c>
      <c r="I16" s="38">
        <v>800</v>
      </c>
      <c r="J16" s="38">
        <v>4</v>
      </c>
      <c r="K16" s="38">
        <v>3</v>
      </c>
      <c r="L16" s="47">
        <f t="shared" si="0"/>
        <v>560</v>
      </c>
      <c r="M16" s="47">
        <f t="shared" si="1"/>
        <v>960</v>
      </c>
      <c r="N16" s="47">
        <f t="shared" si="2"/>
        <v>480</v>
      </c>
      <c r="O16" s="34">
        <f t="shared" si="3"/>
        <v>6000</v>
      </c>
      <c r="P16" s="20" t="s">
        <v>186</v>
      </c>
    </row>
    <row r="17" spans="1:16" ht="15" customHeight="1" x14ac:dyDescent="0.2">
      <c r="A17" s="7" t="s">
        <v>187</v>
      </c>
      <c r="B17" s="44" t="s">
        <v>162</v>
      </c>
      <c r="C17" s="45" t="s">
        <v>176</v>
      </c>
      <c r="D17" s="7" t="s">
        <v>188</v>
      </c>
      <c r="E17" s="7" t="s">
        <v>189</v>
      </c>
      <c r="F17" s="7" t="s">
        <v>190</v>
      </c>
      <c r="G17" s="46" t="s">
        <v>191</v>
      </c>
      <c r="H17" s="39">
        <v>4000</v>
      </c>
      <c r="I17" s="38">
        <v>2600</v>
      </c>
      <c r="J17" s="38">
        <v>6</v>
      </c>
      <c r="K17" s="38">
        <v>5</v>
      </c>
      <c r="L17" s="47">
        <f t="shared" si="0"/>
        <v>1819.9999999999998</v>
      </c>
      <c r="M17" s="47">
        <f t="shared" si="1"/>
        <v>1600</v>
      </c>
      <c r="N17" s="47">
        <f t="shared" si="2"/>
        <v>720</v>
      </c>
      <c r="O17" s="34">
        <f t="shared" si="3"/>
        <v>8140</v>
      </c>
      <c r="P17" s="20" t="s">
        <v>192</v>
      </c>
    </row>
    <row r="18" spans="1:16" ht="15" customHeight="1" x14ac:dyDescent="0.2">
      <c r="A18" s="7" t="s">
        <v>193</v>
      </c>
      <c r="B18" s="44" t="s">
        <v>162</v>
      </c>
      <c r="C18" s="45" t="s">
        <v>194</v>
      </c>
      <c r="D18" s="7" t="s">
        <v>195</v>
      </c>
      <c r="E18" s="7" t="s">
        <v>196</v>
      </c>
      <c r="F18" s="7" t="s">
        <v>197</v>
      </c>
      <c r="G18" s="46" t="s">
        <v>198</v>
      </c>
      <c r="H18" s="39">
        <v>2000</v>
      </c>
      <c r="I18" s="38">
        <v>1600</v>
      </c>
      <c r="J18" s="38">
        <v>5</v>
      </c>
      <c r="K18" s="38">
        <v>4</v>
      </c>
      <c r="L18" s="47">
        <f t="shared" si="0"/>
        <v>1120</v>
      </c>
      <c r="M18" s="47">
        <f t="shared" si="1"/>
        <v>1280</v>
      </c>
      <c r="N18" s="47">
        <f t="shared" si="2"/>
        <v>600</v>
      </c>
      <c r="O18" s="34">
        <f t="shared" si="3"/>
        <v>5000</v>
      </c>
      <c r="P18" s="20" t="s">
        <v>199</v>
      </c>
    </row>
    <row r="19" spans="1:16" ht="15" customHeight="1" x14ac:dyDescent="0.2">
      <c r="A19" s="7" t="s">
        <v>200</v>
      </c>
      <c r="B19" s="44" t="s">
        <v>162</v>
      </c>
      <c r="C19" s="45" t="s">
        <v>176</v>
      </c>
      <c r="D19" s="7" t="s">
        <v>201</v>
      </c>
      <c r="E19" s="7" t="s">
        <v>202</v>
      </c>
      <c r="F19" s="7" t="s">
        <v>184</v>
      </c>
      <c r="G19" s="46" t="s">
        <v>203</v>
      </c>
      <c r="H19" s="39">
        <v>4000</v>
      </c>
      <c r="I19" s="38">
        <v>3000</v>
      </c>
      <c r="J19" s="38">
        <v>7</v>
      </c>
      <c r="K19" s="38">
        <v>6</v>
      </c>
      <c r="L19" s="47">
        <f t="shared" si="0"/>
        <v>2100</v>
      </c>
      <c r="M19" s="47">
        <f t="shared" si="1"/>
        <v>1920</v>
      </c>
      <c r="N19" s="47">
        <f t="shared" si="2"/>
        <v>840</v>
      </c>
      <c r="O19" s="34">
        <f t="shared" si="3"/>
        <v>8860</v>
      </c>
      <c r="P19" s="20" t="s">
        <v>204</v>
      </c>
    </row>
    <row r="20" spans="1:16" ht="23.25" customHeight="1" x14ac:dyDescent="0.2">
      <c r="A20" s="7" t="s">
        <v>205</v>
      </c>
      <c r="B20" s="44" t="s">
        <v>162</v>
      </c>
      <c r="C20" s="45" t="s">
        <v>163</v>
      </c>
      <c r="D20" s="7" t="s">
        <v>206</v>
      </c>
      <c r="E20" s="7" t="s">
        <v>207</v>
      </c>
      <c r="F20" s="7" t="s">
        <v>208</v>
      </c>
      <c r="G20" s="46" t="s">
        <v>209</v>
      </c>
      <c r="H20" s="39">
        <v>750</v>
      </c>
      <c r="I20" s="38">
        <v>420</v>
      </c>
      <c r="J20" s="38">
        <v>3</v>
      </c>
      <c r="K20" s="38">
        <v>2</v>
      </c>
      <c r="L20" s="47">
        <f t="shared" si="0"/>
        <v>294</v>
      </c>
      <c r="M20" s="47">
        <f t="shared" si="1"/>
        <v>640</v>
      </c>
      <c r="N20" s="47">
        <f t="shared" si="2"/>
        <v>360</v>
      </c>
      <c r="O20" s="34">
        <f t="shared" si="3"/>
        <v>2044</v>
      </c>
      <c r="P20" s="20" t="s">
        <v>210</v>
      </c>
    </row>
    <row r="21" spans="1:16" ht="15" customHeight="1" x14ac:dyDescent="0.2">
      <c r="A21" s="7" t="s">
        <v>211</v>
      </c>
      <c r="B21" s="44" t="s">
        <v>162</v>
      </c>
      <c r="C21" s="45" t="s">
        <v>163</v>
      </c>
      <c r="D21" s="7" t="s">
        <v>212</v>
      </c>
      <c r="E21" s="7" t="s">
        <v>213</v>
      </c>
      <c r="F21" s="7" t="s">
        <v>214</v>
      </c>
      <c r="G21" s="46" t="s">
        <v>215</v>
      </c>
      <c r="H21" s="39">
        <v>300</v>
      </c>
      <c r="I21" s="38">
        <v>640</v>
      </c>
      <c r="J21" s="38">
        <v>4</v>
      </c>
      <c r="K21" s="38">
        <v>3</v>
      </c>
      <c r="L21" s="47">
        <f t="shared" si="0"/>
        <v>448</v>
      </c>
      <c r="M21" s="47">
        <f t="shared" si="1"/>
        <v>960</v>
      </c>
      <c r="N21" s="47">
        <f t="shared" si="2"/>
        <v>480</v>
      </c>
      <c r="O21" s="34">
        <f t="shared" si="3"/>
        <v>2188</v>
      </c>
      <c r="P21" s="20" t="s">
        <v>216</v>
      </c>
    </row>
    <row r="22" spans="1:16" ht="15" customHeight="1" x14ac:dyDescent="0.2">
      <c r="A22" s="7" t="s">
        <v>217</v>
      </c>
      <c r="B22" s="44" t="s">
        <v>162</v>
      </c>
      <c r="C22" s="45" t="s">
        <v>163</v>
      </c>
      <c r="D22" s="7" t="s">
        <v>218</v>
      </c>
      <c r="E22" s="7" t="s">
        <v>219</v>
      </c>
      <c r="F22" s="7" t="s">
        <v>220</v>
      </c>
      <c r="G22" s="46" t="s">
        <v>221</v>
      </c>
      <c r="H22" s="39">
        <v>2500</v>
      </c>
      <c r="I22" s="38">
        <v>3300</v>
      </c>
      <c r="J22" s="38">
        <v>7</v>
      </c>
      <c r="K22" s="38">
        <v>6</v>
      </c>
      <c r="L22" s="47">
        <f t="shared" si="0"/>
        <v>2310</v>
      </c>
      <c r="M22" s="47">
        <f t="shared" si="1"/>
        <v>1920</v>
      </c>
      <c r="N22" s="47">
        <f t="shared" si="2"/>
        <v>840</v>
      </c>
      <c r="O22" s="34">
        <f t="shared" si="3"/>
        <v>7570</v>
      </c>
      <c r="P22" s="20" t="s">
        <v>222</v>
      </c>
    </row>
    <row r="23" spans="1:16" ht="15" customHeight="1" x14ac:dyDescent="0.2">
      <c r="A23" s="7" t="s">
        <v>223</v>
      </c>
      <c r="B23" s="44" t="s">
        <v>162</v>
      </c>
      <c r="C23" s="45" t="s">
        <v>194</v>
      </c>
      <c r="D23" s="7" t="s">
        <v>224</v>
      </c>
      <c r="E23" s="7" t="s">
        <v>225</v>
      </c>
      <c r="F23" s="7" t="s">
        <v>226</v>
      </c>
      <c r="G23" s="46" t="s">
        <v>227</v>
      </c>
      <c r="H23" s="39">
        <v>2500</v>
      </c>
      <c r="I23" s="38">
        <v>30</v>
      </c>
      <c r="J23" s="38">
        <v>1</v>
      </c>
      <c r="K23" s="38">
        <v>0</v>
      </c>
      <c r="L23" s="47">
        <f t="shared" si="0"/>
        <v>21</v>
      </c>
      <c r="M23" s="47">
        <f t="shared" si="1"/>
        <v>0</v>
      </c>
      <c r="N23" s="47">
        <f t="shared" si="2"/>
        <v>120</v>
      </c>
      <c r="O23" s="34">
        <f t="shared" si="3"/>
        <v>2641</v>
      </c>
      <c r="P23" s="20" t="s">
        <v>228</v>
      </c>
    </row>
    <row r="24" spans="1:16" ht="23.25" customHeight="1" x14ac:dyDescent="0.2">
      <c r="A24" s="7" t="s">
        <v>229</v>
      </c>
      <c r="B24" s="44" t="s">
        <v>162</v>
      </c>
      <c r="C24" s="45" t="s">
        <v>176</v>
      </c>
      <c r="D24" s="7" t="s">
        <v>230</v>
      </c>
      <c r="E24" s="7" t="s">
        <v>231</v>
      </c>
      <c r="F24" s="7" t="s">
        <v>232</v>
      </c>
      <c r="G24" s="46" t="s">
        <v>233</v>
      </c>
      <c r="H24" s="39">
        <v>700</v>
      </c>
      <c r="I24" s="38">
        <v>330</v>
      </c>
      <c r="J24" s="38">
        <v>3</v>
      </c>
      <c r="K24" s="38">
        <v>0</v>
      </c>
      <c r="L24" s="47">
        <f t="shared" si="0"/>
        <v>230.99999999999997</v>
      </c>
      <c r="M24" s="47">
        <f t="shared" si="1"/>
        <v>0</v>
      </c>
      <c r="N24" s="47">
        <f t="shared" si="2"/>
        <v>360</v>
      </c>
      <c r="O24" s="34">
        <f t="shared" si="3"/>
        <v>1291</v>
      </c>
      <c r="P24" s="20" t="s">
        <v>234</v>
      </c>
    </row>
    <row r="25" spans="1:16" ht="23.25" customHeight="1" x14ac:dyDescent="0.2">
      <c r="A25" s="7" t="s">
        <v>235</v>
      </c>
      <c r="B25" s="44" t="s">
        <v>162</v>
      </c>
      <c r="C25" s="45" t="s">
        <v>163</v>
      </c>
      <c r="D25" s="7" t="s">
        <v>236</v>
      </c>
      <c r="E25" s="7" t="s">
        <v>237</v>
      </c>
      <c r="F25" s="7" t="s">
        <v>238</v>
      </c>
      <c r="G25" s="46" t="s">
        <v>239</v>
      </c>
      <c r="H25" s="39">
        <v>3000</v>
      </c>
      <c r="I25" s="38">
        <v>1200</v>
      </c>
      <c r="J25" s="38">
        <v>7</v>
      </c>
      <c r="K25" s="38">
        <v>6</v>
      </c>
      <c r="L25" s="47">
        <f t="shared" si="0"/>
        <v>840</v>
      </c>
      <c r="M25" s="47">
        <f t="shared" si="1"/>
        <v>1920</v>
      </c>
      <c r="N25" s="47">
        <f t="shared" si="2"/>
        <v>840</v>
      </c>
      <c r="O25" s="34">
        <f t="shared" si="3"/>
        <v>6600</v>
      </c>
      <c r="P25" s="20" t="s">
        <v>240</v>
      </c>
    </row>
    <row r="26" spans="1:16" ht="15" customHeight="1" x14ac:dyDescent="0.2">
      <c r="A26" s="7" t="s">
        <v>241</v>
      </c>
      <c r="B26" s="44" t="s">
        <v>162</v>
      </c>
      <c r="C26" s="45" t="s">
        <v>176</v>
      </c>
      <c r="D26" s="7" t="s">
        <v>242</v>
      </c>
      <c r="E26" s="7" t="s">
        <v>243</v>
      </c>
      <c r="F26" s="7" t="s">
        <v>244</v>
      </c>
      <c r="G26" s="46" t="s">
        <v>245</v>
      </c>
      <c r="H26" s="39">
        <v>400</v>
      </c>
      <c r="I26" s="38">
        <v>440</v>
      </c>
      <c r="J26" s="38">
        <v>3</v>
      </c>
      <c r="K26" s="38">
        <v>2</v>
      </c>
      <c r="L26" s="47">
        <f t="shared" si="0"/>
        <v>308</v>
      </c>
      <c r="M26" s="47">
        <f t="shared" si="1"/>
        <v>640</v>
      </c>
      <c r="N26" s="47">
        <f t="shared" si="2"/>
        <v>360</v>
      </c>
      <c r="O26" s="34">
        <f t="shared" si="3"/>
        <v>1708</v>
      </c>
      <c r="P26" s="20" t="s">
        <v>246</v>
      </c>
    </row>
    <row r="27" spans="1:16" ht="15" customHeight="1" x14ac:dyDescent="0.2">
      <c r="A27" s="7" t="s">
        <v>247</v>
      </c>
      <c r="B27" s="44" t="s">
        <v>162</v>
      </c>
      <c r="C27" s="45" t="s">
        <v>176</v>
      </c>
      <c r="D27" s="7" t="s">
        <v>248</v>
      </c>
      <c r="E27" s="7" t="s">
        <v>249</v>
      </c>
      <c r="F27" s="7" t="s">
        <v>250</v>
      </c>
      <c r="G27" s="46" t="s">
        <v>251</v>
      </c>
      <c r="H27" s="39">
        <v>4500</v>
      </c>
      <c r="I27" s="38">
        <v>2600</v>
      </c>
      <c r="J27" s="38">
        <v>6</v>
      </c>
      <c r="K27" s="38">
        <v>5</v>
      </c>
      <c r="L27" s="47">
        <f t="shared" si="0"/>
        <v>1819.9999999999998</v>
      </c>
      <c r="M27" s="47">
        <f t="shared" si="1"/>
        <v>1600</v>
      </c>
      <c r="N27" s="47">
        <f t="shared" si="2"/>
        <v>720</v>
      </c>
      <c r="O27" s="34">
        <f t="shared" si="3"/>
        <v>8640</v>
      </c>
      <c r="P27" s="20" t="s">
        <v>252</v>
      </c>
    </row>
    <row r="28" spans="1:16" ht="15" customHeight="1" x14ac:dyDescent="0.2">
      <c r="A28" s="7" t="s">
        <v>253</v>
      </c>
      <c r="B28" s="44" t="s">
        <v>162</v>
      </c>
      <c r="C28" s="45" t="s">
        <v>194</v>
      </c>
      <c r="D28" s="7" t="s">
        <v>254</v>
      </c>
      <c r="E28" s="7" t="s">
        <v>255</v>
      </c>
      <c r="F28" s="7" t="s">
        <v>256</v>
      </c>
      <c r="G28" s="46" t="s">
        <v>257</v>
      </c>
      <c r="H28" s="39">
        <v>400</v>
      </c>
      <c r="I28" s="38">
        <v>660</v>
      </c>
      <c r="J28" s="38">
        <v>3</v>
      </c>
      <c r="K28" s="38">
        <v>2</v>
      </c>
      <c r="L28" s="47">
        <f t="shared" si="0"/>
        <v>461.99999999999994</v>
      </c>
      <c r="M28" s="47">
        <f t="shared" si="1"/>
        <v>640</v>
      </c>
      <c r="N28" s="47">
        <f t="shared" si="2"/>
        <v>360</v>
      </c>
      <c r="O28" s="34">
        <f t="shared" si="3"/>
        <v>1862</v>
      </c>
      <c r="P28" s="20" t="s">
        <v>258</v>
      </c>
    </row>
    <row r="29" spans="1:16" ht="15" customHeight="1" x14ac:dyDescent="0.2">
      <c r="A29" s="7" t="s">
        <v>259</v>
      </c>
      <c r="B29" s="44" t="s">
        <v>162</v>
      </c>
      <c r="C29" s="45" t="s">
        <v>194</v>
      </c>
      <c r="D29" s="7" t="s">
        <v>260</v>
      </c>
      <c r="E29" s="7" t="s">
        <v>261</v>
      </c>
      <c r="F29" s="7" t="s">
        <v>262</v>
      </c>
      <c r="G29" s="46" t="s">
        <v>263</v>
      </c>
      <c r="H29" s="39">
        <v>6000</v>
      </c>
      <c r="I29" s="38">
        <v>4000</v>
      </c>
      <c r="J29" s="38">
        <v>8</v>
      </c>
      <c r="K29" s="38">
        <v>7</v>
      </c>
      <c r="L29" s="47">
        <f t="shared" si="0"/>
        <v>2800</v>
      </c>
      <c r="M29" s="47">
        <f t="shared" si="1"/>
        <v>2240</v>
      </c>
      <c r="N29" s="47">
        <f t="shared" si="2"/>
        <v>960</v>
      </c>
      <c r="O29" s="34">
        <f t="shared" si="3"/>
        <v>12000</v>
      </c>
      <c r="P29" s="20" t="s">
        <v>264</v>
      </c>
    </row>
    <row r="30" spans="1:16" ht="15" customHeight="1" x14ac:dyDescent="0.2">
      <c r="A30" s="7" t="s">
        <v>265</v>
      </c>
      <c r="B30" s="44" t="s">
        <v>162</v>
      </c>
      <c r="C30" s="45" t="s">
        <v>194</v>
      </c>
      <c r="D30" s="7" t="s">
        <v>266</v>
      </c>
      <c r="E30" s="7" t="s">
        <v>267</v>
      </c>
      <c r="F30" s="7" t="s">
        <v>268</v>
      </c>
      <c r="G30" s="46" t="s">
        <v>269</v>
      </c>
      <c r="H30" s="39">
        <v>500</v>
      </c>
      <c r="I30" s="38">
        <v>300</v>
      </c>
      <c r="J30" s="38">
        <v>1</v>
      </c>
      <c r="K30" s="38">
        <v>0</v>
      </c>
      <c r="L30" s="47">
        <f t="shared" si="0"/>
        <v>210</v>
      </c>
      <c r="M30" s="47">
        <f t="shared" si="1"/>
        <v>0</v>
      </c>
      <c r="N30" s="47">
        <f t="shared" si="2"/>
        <v>120</v>
      </c>
      <c r="O30" s="34">
        <f t="shared" si="3"/>
        <v>830</v>
      </c>
      <c r="P30" s="20" t="s">
        <v>270</v>
      </c>
    </row>
    <row r="31" spans="1:16" ht="15" customHeight="1" x14ac:dyDescent="0.2">
      <c r="A31" s="18" t="s">
        <v>271</v>
      </c>
      <c r="B31" s="48" t="str">
        <f>COUNTIF(B13:B30,"Y")&amp;" of 18"</f>
        <v>18 of 18</v>
      </c>
      <c r="H31" s="34">
        <f>SUMIF($B13:$B30,"Y",H13:H30)</f>
        <v>46550</v>
      </c>
      <c r="L31" s="34">
        <f>SUMIF($B13:$B30,"Y",L13:L30)</f>
        <v>17962</v>
      </c>
      <c r="M31" s="34">
        <f>SUMIF($B13:$B30,"Y",M13:M30)</f>
        <v>19520</v>
      </c>
      <c r="N31" s="34">
        <f>SUMIF($B13:$B30,"Y",N13:N30)</f>
        <v>9720</v>
      </c>
      <c r="O31" s="34">
        <f>SUMIF($B13:$B30,"Y",O13:O30)</f>
        <v>93752</v>
      </c>
    </row>
    <row r="33" spans="1:3" ht="15" customHeight="1" x14ac:dyDescent="0.2">
      <c r="A33" s="18" t="s">
        <v>272</v>
      </c>
    </row>
    <row r="34" spans="1:3" ht="15" customHeight="1" x14ac:dyDescent="0.2">
      <c r="A34" s="42" t="s">
        <v>273</v>
      </c>
      <c r="B34" s="43" t="s">
        <v>146</v>
      </c>
      <c r="C34" s="43" t="s">
        <v>274</v>
      </c>
    </row>
    <row r="35" spans="1:3" ht="15" customHeight="1" x14ac:dyDescent="0.2">
      <c r="A35" s="7" t="s">
        <v>275</v>
      </c>
      <c r="B35" s="44" t="s">
        <v>162</v>
      </c>
      <c r="C35" s="39">
        <v>60000</v>
      </c>
    </row>
    <row r="36" spans="1:3" ht="15" customHeight="1" x14ac:dyDescent="0.2">
      <c r="A36" s="7" t="s">
        <v>276</v>
      </c>
      <c r="B36" s="44" t="s">
        <v>162</v>
      </c>
      <c r="C36" s="39">
        <v>15000</v>
      </c>
    </row>
    <row r="37" spans="1:3" ht="15" customHeight="1" x14ac:dyDescent="0.2">
      <c r="A37" s="7" t="s">
        <v>277</v>
      </c>
      <c r="B37" s="44" t="s">
        <v>162</v>
      </c>
      <c r="C37" s="39">
        <v>15000</v>
      </c>
    </row>
    <row r="38" spans="1:3" ht="15" customHeight="1" x14ac:dyDescent="0.2">
      <c r="A38" s="7" t="s">
        <v>278</v>
      </c>
      <c r="B38" s="44" t="s">
        <v>162</v>
      </c>
      <c r="C38" s="39">
        <v>30000</v>
      </c>
    </row>
    <row r="39" spans="1:3" ht="15" customHeight="1" x14ac:dyDescent="0.2">
      <c r="A39" s="18" t="s">
        <v>279</v>
      </c>
      <c r="B39" s="48" t="str">
        <f>COUNTIF(B35:B38,"Y")&amp;" of 4"</f>
        <v>4 of 4</v>
      </c>
      <c r="C39" s="34">
        <f>SUMIF($B35:$B38,"Y",C35:C38)</f>
        <v>120000</v>
      </c>
    </row>
  </sheetData>
  <dataValidations count="1">
    <dataValidation type="list" allowBlank="1" showInputMessage="1" showErrorMessage="1" sqref="B13:B30 B35:B38">
      <formula1>"Y,N"</formula1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7"/>
  <sheetViews>
    <sheetView zoomScaleNormal="100" workbookViewId="0"/>
  </sheetViews>
  <sheetFormatPr baseColWidth="10" defaultColWidth="8.6640625" defaultRowHeight="15" x14ac:dyDescent="0.2"/>
  <cols>
    <col min="1" max="1" width="44" customWidth="1"/>
    <col min="2" max="2" width="9" customWidth="1"/>
    <col min="4" max="4" width="12" customWidth="1"/>
    <col min="5" max="5" width="30" customWidth="1"/>
    <col min="6" max="6" width="42" customWidth="1"/>
    <col min="7" max="7" width="46" customWidth="1"/>
    <col min="8" max="8" width="48" customWidth="1"/>
    <col min="9" max="9" width="26" customWidth="1"/>
  </cols>
  <sheetData>
    <row r="1" spans="1:9" ht="46" customHeight="1" x14ac:dyDescent="0.2">
      <c r="A1" s="2"/>
    </row>
    <row r="2" spans="1:9" ht="15" customHeight="1" x14ac:dyDescent="0.2">
      <c r="A2" s="2" t="s">
        <v>280</v>
      </c>
    </row>
    <row r="3" spans="1:9" x14ac:dyDescent="0.2">
      <c r="A3" s="3" t="s">
        <v>281</v>
      </c>
    </row>
    <row r="4" spans="1:9" ht="15" customHeight="1" x14ac:dyDescent="0.2">
      <c r="A4" s="42" t="s">
        <v>282</v>
      </c>
      <c r="B4" s="43" t="s">
        <v>146</v>
      </c>
      <c r="C4" s="43" t="s">
        <v>283</v>
      </c>
      <c r="D4" s="43" t="s">
        <v>284</v>
      </c>
      <c r="E4" s="42" t="s">
        <v>285</v>
      </c>
      <c r="F4" s="42" t="s">
        <v>286</v>
      </c>
      <c r="G4" s="42" t="s">
        <v>287</v>
      </c>
      <c r="H4" s="42" t="s">
        <v>288</v>
      </c>
      <c r="I4" s="42" t="s">
        <v>160</v>
      </c>
    </row>
    <row r="5" spans="1:9" ht="23.25" customHeight="1" x14ac:dyDescent="0.2">
      <c r="A5" s="46" t="s">
        <v>289</v>
      </c>
      <c r="B5" s="44" t="s">
        <v>162</v>
      </c>
      <c r="C5" s="45" t="s">
        <v>290</v>
      </c>
      <c r="D5" s="39">
        <v>250</v>
      </c>
      <c r="E5" s="46" t="s">
        <v>291</v>
      </c>
      <c r="F5" s="46" t="s">
        <v>292</v>
      </c>
      <c r="G5" s="46" t="s">
        <v>293</v>
      </c>
      <c r="H5" s="46" t="s">
        <v>294</v>
      </c>
      <c r="I5" s="20" t="s">
        <v>295</v>
      </c>
    </row>
    <row r="6" spans="1:9" ht="23.25" customHeight="1" x14ac:dyDescent="0.2">
      <c r="A6" s="46" t="s">
        <v>296</v>
      </c>
      <c r="B6" s="44" t="s">
        <v>162</v>
      </c>
      <c r="C6" s="45" t="s">
        <v>290</v>
      </c>
      <c r="D6" s="39">
        <v>450</v>
      </c>
      <c r="E6" s="46" t="s">
        <v>297</v>
      </c>
      <c r="F6" s="46" t="s">
        <v>298</v>
      </c>
      <c r="G6" s="46" t="s">
        <v>299</v>
      </c>
      <c r="H6" s="46" t="s">
        <v>300</v>
      </c>
      <c r="I6" s="20" t="s">
        <v>301</v>
      </c>
    </row>
    <row r="7" spans="1:9" ht="23.25" customHeight="1" x14ac:dyDescent="0.2">
      <c r="A7" s="46" t="s">
        <v>302</v>
      </c>
      <c r="B7" s="44" t="s">
        <v>162</v>
      </c>
      <c r="C7" s="45" t="s">
        <v>290</v>
      </c>
      <c r="D7" s="39">
        <v>350</v>
      </c>
      <c r="E7" s="46" t="s">
        <v>303</v>
      </c>
      <c r="F7" s="46" t="s">
        <v>304</v>
      </c>
      <c r="G7" s="46" t="s">
        <v>305</v>
      </c>
      <c r="H7" s="46" t="s">
        <v>306</v>
      </c>
      <c r="I7" s="20" t="s">
        <v>307</v>
      </c>
    </row>
    <row r="8" spans="1:9" ht="23.25" customHeight="1" x14ac:dyDescent="0.2">
      <c r="A8" s="46" t="s">
        <v>308</v>
      </c>
      <c r="B8" s="44" t="s">
        <v>162</v>
      </c>
      <c r="C8" s="45" t="s">
        <v>290</v>
      </c>
      <c r="D8" s="39">
        <v>60</v>
      </c>
      <c r="E8" s="46" t="s">
        <v>309</v>
      </c>
      <c r="F8" s="46" t="s">
        <v>310</v>
      </c>
      <c r="G8" s="46" t="s">
        <v>311</v>
      </c>
      <c r="H8" s="46" t="s">
        <v>312</v>
      </c>
      <c r="I8" s="20" t="s">
        <v>313</v>
      </c>
    </row>
    <row r="9" spans="1:9" ht="34.5" customHeight="1" x14ac:dyDescent="0.2">
      <c r="A9" s="46" t="s">
        <v>314</v>
      </c>
      <c r="B9" s="44" t="s">
        <v>162</v>
      </c>
      <c r="C9" s="45" t="s">
        <v>290</v>
      </c>
      <c r="D9" s="39">
        <v>0</v>
      </c>
      <c r="E9" s="46" t="s">
        <v>315</v>
      </c>
      <c r="F9" s="46" t="s">
        <v>316</v>
      </c>
      <c r="G9" s="46" t="s">
        <v>317</v>
      </c>
      <c r="H9" s="46" t="s">
        <v>318</v>
      </c>
      <c r="I9" s="20" t="s">
        <v>319</v>
      </c>
    </row>
    <row r="10" spans="1:9" ht="23.25" customHeight="1" x14ac:dyDescent="0.2">
      <c r="A10" s="46" t="s">
        <v>320</v>
      </c>
      <c r="B10" s="44" t="s">
        <v>162</v>
      </c>
      <c r="C10" s="45" t="s">
        <v>321</v>
      </c>
      <c r="D10" s="39">
        <v>50</v>
      </c>
      <c r="E10" s="46" t="s">
        <v>322</v>
      </c>
      <c r="F10" s="46" t="s">
        <v>323</v>
      </c>
      <c r="G10" s="46" t="s">
        <v>324</v>
      </c>
      <c r="H10" s="46" t="s">
        <v>325</v>
      </c>
      <c r="I10" s="20" t="s">
        <v>326</v>
      </c>
    </row>
    <row r="11" spans="1:9" ht="23.25" customHeight="1" x14ac:dyDescent="0.2">
      <c r="A11" s="46" t="s">
        <v>327</v>
      </c>
      <c r="B11" s="44" t="s">
        <v>162</v>
      </c>
      <c r="C11" s="45" t="s">
        <v>321</v>
      </c>
      <c r="D11" s="39">
        <v>50</v>
      </c>
      <c r="E11" s="46" t="s">
        <v>322</v>
      </c>
      <c r="F11" s="46" t="s">
        <v>328</v>
      </c>
      <c r="G11" s="46" t="s">
        <v>329</v>
      </c>
      <c r="H11" s="46" t="s">
        <v>330</v>
      </c>
      <c r="I11" s="20" t="s">
        <v>331</v>
      </c>
    </row>
    <row r="12" spans="1:9" ht="23.25" customHeight="1" x14ac:dyDescent="0.2">
      <c r="A12" s="46" t="s">
        <v>332</v>
      </c>
      <c r="B12" s="44" t="s">
        <v>162</v>
      </c>
      <c r="C12" s="45" t="s">
        <v>321</v>
      </c>
      <c r="D12" s="39">
        <v>75</v>
      </c>
      <c r="E12" s="46" t="s">
        <v>333</v>
      </c>
      <c r="F12" s="46" t="s">
        <v>334</v>
      </c>
      <c r="G12" s="46" t="s">
        <v>335</v>
      </c>
      <c r="H12" s="46" t="s">
        <v>336</v>
      </c>
      <c r="I12" s="20" t="s">
        <v>337</v>
      </c>
    </row>
    <row r="13" spans="1:9" ht="23.25" customHeight="1" x14ac:dyDescent="0.2">
      <c r="A13" s="46" t="s">
        <v>338</v>
      </c>
      <c r="B13" s="44" t="s">
        <v>162</v>
      </c>
      <c r="C13" s="45" t="s">
        <v>321</v>
      </c>
      <c r="D13" s="39">
        <v>0</v>
      </c>
      <c r="E13" s="46" t="s">
        <v>339</v>
      </c>
      <c r="F13" s="46" t="s">
        <v>340</v>
      </c>
      <c r="G13" s="46" t="s">
        <v>341</v>
      </c>
      <c r="H13" s="46" t="s">
        <v>342</v>
      </c>
      <c r="I13" s="20" t="s">
        <v>343</v>
      </c>
    </row>
    <row r="14" spans="1:9" ht="23.25" customHeight="1" x14ac:dyDescent="0.2">
      <c r="A14" s="46" t="s">
        <v>344</v>
      </c>
      <c r="B14" s="44" t="s">
        <v>162</v>
      </c>
      <c r="C14" s="45" t="s">
        <v>321</v>
      </c>
      <c r="D14" s="39">
        <v>240</v>
      </c>
      <c r="E14" s="46" t="s">
        <v>345</v>
      </c>
      <c r="F14" s="46" t="s">
        <v>346</v>
      </c>
      <c r="G14" s="46" t="s">
        <v>347</v>
      </c>
      <c r="H14" s="46" t="s">
        <v>348</v>
      </c>
      <c r="I14" s="20" t="s">
        <v>349</v>
      </c>
    </row>
    <row r="15" spans="1:9" ht="23.25" customHeight="1" x14ac:dyDescent="0.2">
      <c r="A15" s="46" t="s">
        <v>350</v>
      </c>
      <c r="B15" s="44" t="s">
        <v>162</v>
      </c>
      <c r="C15" s="45" t="s">
        <v>351</v>
      </c>
      <c r="D15" s="39">
        <v>500</v>
      </c>
      <c r="E15" s="46" t="s">
        <v>352</v>
      </c>
      <c r="F15" s="46" t="s">
        <v>353</v>
      </c>
      <c r="G15" s="46" t="s">
        <v>354</v>
      </c>
      <c r="H15" s="46" t="s">
        <v>355</v>
      </c>
      <c r="I15" s="20" t="s">
        <v>356</v>
      </c>
    </row>
    <row r="16" spans="1:9" ht="23.25" customHeight="1" x14ac:dyDescent="0.2">
      <c r="A16" s="46" t="s">
        <v>357</v>
      </c>
      <c r="B16" s="44" t="s">
        <v>162</v>
      </c>
      <c r="C16" s="45" t="s">
        <v>351</v>
      </c>
      <c r="D16" s="39">
        <v>300</v>
      </c>
      <c r="E16" s="46" t="s">
        <v>358</v>
      </c>
      <c r="F16" s="46" t="s">
        <v>359</v>
      </c>
      <c r="G16" s="46" t="s">
        <v>360</v>
      </c>
      <c r="H16" s="46" t="s">
        <v>361</v>
      </c>
      <c r="I16" s="20" t="s">
        <v>362</v>
      </c>
    </row>
    <row r="17" spans="1:4" ht="15" customHeight="1" x14ac:dyDescent="0.2">
      <c r="A17" s="18" t="s">
        <v>363</v>
      </c>
      <c r="B17" s="48" t="str">
        <f>COUNTIF(B5:B16,"Y")&amp;" of 12"</f>
        <v>12 of 12</v>
      </c>
      <c r="D17" s="34">
        <f>SUMIF($B5:$B16,"Y",D5:D16)</f>
        <v>2325</v>
      </c>
    </row>
  </sheetData>
  <dataValidations count="1">
    <dataValidation type="list" allowBlank="1" showInputMessage="1" showErrorMessage="1" sqref="B5:B16">
      <formula1>"Y,N"</formula1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5"/>
  <sheetViews>
    <sheetView zoomScaleNormal="100" workbookViewId="0"/>
  </sheetViews>
  <sheetFormatPr baseColWidth="10" defaultColWidth="8.6640625" defaultRowHeight="15" x14ac:dyDescent="0.2"/>
  <cols>
    <col min="1" max="1" width="58" customWidth="1"/>
    <col min="2" max="2" width="15" customWidth="1"/>
    <col min="3" max="3" width="12" customWidth="1"/>
  </cols>
  <sheetData>
    <row r="1" spans="1:2" ht="46" customHeight="1" x14ac:dyDescent="0.2">
      <c r="A1" s="2"/>
    </row>
    <row r="2" spans="1:2" ht="15" customHeight="1" x14ac:dyDescent="0.2">
      <c r="A2" s="2" t="s">
        <v>364</v>
      </c>
    </row>
    <row r="3" spans="1:2" x14ac:dyDescent="0.2">
      <c r="A3" s="3" t="s">
        <v>365</v>
      </c>
    </row>
    <row r="4" spans="1:2" ht="15" customHeight="1" x14ac:dyDescent="0.2">
      <c r="A4" s="9" t="s">
        <v>366</v>
      </c>
      <c r="B4" s="10"/>
    </row>
    <row r="5" spans="1:2" ht="15" customHeight="1" x14ac:dyDescent="0.2">
      <c r="A5" s="7" t="s">
        <v>367</v>
      </c>
      <c r="B5" s="49">
        <f>Events!H31</f>
        <v>46550</v>
      </c>
    </row>
    <row r="6" spans="1:2" ht="15" customHeight="1" x14ac:dyDescent="0.2">
      <c r="A6" s="7" t="s">
        <v>368</v>
      </c>
      <c r="B6" s="49">
        <f>Events!L31</f>
        <v>17962</v>
      </c>
    </row>
    <row r="7" spans="1:2" ht="15" customHeight="1" x14ac:dyDescent="0.2">
      <c r="A7" s="7" t="s">
        <v>369</v>
      </c>
      <c r="B7" s="49">
        <f>Events!M31</f>
        <v>19520</v>
      </c>
    </row>
    <row r="8" spans="1:2" ht="15" customHeight="1" x14ac:dyDescent="0.2">
      <c r="A8" s="7" t="s">
        <v>370</v>
      </c>
      <c r="B8" s="49">
        <f>Events!N31</f>
        <v>9720</v>
      </c>
    </row>
    <row r="9" spans="1:2" ht="15" customHeight="1" x14ac:dyDescent="0.2">
      <c r="A9" s="18" t="s">
        <v>371</v>
      </c>
      <c r="B9" s="34">
        <f>Events!O31</f>
        <v>93752</v>
      </c>
    </row>
    <row r="11" spans="1:2" ht="15" customHeight="1" x14ac:dyDescent="0.2">
      <c r="A11" s="9" t="s">
        <v>372</v>
      </c>
      <c r="B11" s="10"/>
    </row>
    <row r="12" spans="1:2" ht="15" customHeight="1" x14ac:dyDescent="0.2">
      <c r="A12" s="7" t="s">
        <v>373</v>
      </c>
      <c r="B12" s="49">
        <f>'Orgs &amp; Boards'!D17</f>
        <v>2325</v>
      </c>
    </row>
    <row r="14" spans="1:2" ht="15" customHeight="1" x14ac:dyDescent="0.2">
      <c r="A14" s="9" t="s">
        <v>374</v>
      </c>
      <c r="B14" s="10"/>
    </row>
    <row r="15" spans="1:2" ht="15" customHeight="1" x14ac:dyDescent="0.2">
      <c r="A15" s="7" t="s">
        <v>375</v>
      </c>
      <c r="B15" s="49">
        <f>Events!C35</f>
        <v>60000</v>
      </c>
    </row>
    <row r="16" spans="1:2" ht="15" customHeight="1" x14ac:dyDescent="0.2">
      <c r="A16" s="7" t="s">
        <v>376</v>
      </c>
      <c r="B16" s="49">
        <f>Events!C36</f>
        <v>15000</v>
      </c>
    </row>
    <row r="17" spans="1:3" ht="15" customHeight="1" x14ac:dyDescent="0.2">
      <c r="A17" s="7" t="s">
        <v>377</v>
      </c>
      <c r="B17" s="49">
        <f>Events!C37</f>
        <v>15000</v>
      </c>
    </row>
    <row r="18" spans="1:3" ht="15" customHeight="1" x14ac:dyDescent="0.2">
      <c r="A18" s="7" t="s">
        <v>378</v>
      </c>
      <c r="B18" s="49">
        <f>Events!C38</f>
        <v>30000</v>
      </c>
    </row>
    <row r="19" spans="1:3" ht="15" customHeight="1" x14ac:dyDescent="0.2">
      <c r="A19" s="18" t="s">
        <v>379</v>
      </c>
      <c r="B19" s="34">
        <f>SUM(B15:B18)</f>
        <v>120000</v>
      </c>
    </row>
    <row r="21" spans="1:3" ht="15" customHeight="1" x14ac:dyDescent="0.2">
      <c r="A21" s="9" t="s">
        <v>380</v>
      </c>
      <c r="B21" s="10"/>
    </row>
    <row r="22" spans="1:3" ht="15" customHeight="1" x14ac:dyDescent="0.2">
      <c r="A22" s="7" t="s">
        <v>381</v>
      </c>
      <c r="C22" s="50">
        <v>0.1</v>
      </c>
    </row>
    <row r="23" spans="1:3" ht="15" customHeight="1" x14ac:dyDescent="0.2">
      <c r="A23" s="7" t="s">
        <v>382</v>
      </c>
      <c r="B23" s="47">
        <f>(B9+B12+B19)*C22</f>
        <v>21607.7</v>
      </c>
    </row>
    <row r="25" spans="1:3" ht="15" customHeight="1" x14ac:dyDescent="0.2">
      <c r="A25" s="9" t="s">
        <v>383</v>
      </c>
      <c r="B25" s="51">
        <f>B9+B12+B19+B23</f>
        <v>237684.7</v>
      </c>
    </row>
    <row r="28" spans="1:3" ht="15" customHeight="1" x14ac:dyDescent="0.2">
      <c r="A28" s="18" t="s">
        <v>384</v>
      </c>
    </row>
    <row r="29" spans="1:3" ht="15" customHeight="1" x14ac:dyDescent="0.2">
      <c r="A29" s="42" t="s">
        <v>147</v>
      </c>
      <c r="B29" s="43" t="s">
        <v>159</v>
      </c>
      <c r="C29" s="43" t="s">
        <v>385</v>
      </c>
    </row>
    <row r="30" spans="1:3" ht="15" customHeight="1" x14ac:dyDescent="0.2">
      <c r="A30" s="7" t="s">
        <v>163</v>
      </c>
      <c r="B30" s="47">
        <f>SUMIFS(Events!O13:O30,Events!C13:C30,"Top",Events!B13:B30,"Y")</f>
        <v>27850</v>
      </c>
      <c r="C30" s="41">
        <f>COUNTIFS(Events!C13:C30,"Top",Events!B13:B30,"Y")</f>
        <v>6</v>
      </c>
    </row>
    <row r="31" spans="1:3" ht="15" customHeight="1" x14ac:dyDescent="0.2">
      <c r="A31" s="7" t="s">
        <v>176</v>
      </c>
      <c r="B31" s="47">
        <f>SUMIFS(Events!O13:O30,Events!C13:C30,"Strong",Events!B13:B30,"Y")</f>
        <v>43569</v>
      </c>
      <c r="C31" s="41">
        <f>COUNTIFS(Events!C13:C30,"Strong",Events!B13:B30,"Y")</f>
        <v>7</v>
      </c>
    </row>
    <row r="32" spans="1:3" ht="15" customHeight="1" x14ac:dyDescent="0.2">
      <c r="A32" s="7" t="s">
        <v>194</v>
      </c>
      <c r="B32" s="47">
        <f>SUMIFS(Events!O13:O30,Events!C13:C30,"Optional",Events!B13:B30,"Y")</f>
        <v>22333</v>
      </c>
      <c r="C32" s="41">
        <f>COUNTIFS(Events!C13:C30,"Optional",Events!B13:B30,"Y")</f>
        <v>5</v>
      </c>
    </row>
    <row r="33" spans="1:3" ht="15" customHeight="1" x14ac:dyDescent="0.2">
      <c r="A33" s="18" t="s">
        <v>386</v>
      </c>
      <c r="B33" s="34">
        <f>Events!O31</f>
        <v>93752</v>
      </c>
      <c r="C33" s="52">
        <f>SUM(C30:C32)</f>
        <v>18</v>
      </c>
    </row>
    <row r="35" spans="1:3" ht="15" customHeight="1" x14ac:dyDescent="0.2">
      <c r="A35" s="20" t="s">
        <v>387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5"/>
  <sheetViews>
    <sheetView zoomScaleNormal="100" workbookViewId="0">
      <selection activeCell="C1" sqref="C1"/>
    </sheetView>
  </sheetViews>
  <sheetFormatPr baseColWidth="10" defaultColWidth="8.6640625" defaultRowHeight="15" x14ac:dyDescent="0.2"/>
  <cols>
    <col min="1" max="1" width="12" customWidth="1"/>
    <col min="2" max="2" width="11" customWidth="1"/>
    <col min="3" max="3" width="62" customWidth="1"/>
    <col min="5" max="5" width="13" customWidth="1"/>
    <col min="6" max="6" width="52" customWidth="1"/>
  </cols>
  <sheetData>
    <row r="1" spans="1:6" ht="46" customHeight="1" x14ac:dyDescent="0.2"/>
    <row r="2" spans="1:6" x14ac:dyDescent="0.2">
      <c r="A2" s="18" t="s">
        <v>388</v>
      </c>
      <c r="B2" s="18" t="s">
        <v>389</v>
      </c>
      <c r="C2" s="18" t="s">
        <v>390</v>
      </c>
      <c r="E2" s="18" t="s">
        <v>391</v>
      </c>
      <c r="F2" s="18" t="s">
        <v>392</v>
      </c>
    </row>
    <row r="3" spans="1:6" x14ac:dyDescent="0.2">
      <c r="A3" t="s">
        <v>393</v>
      </c>
      <c r="B3" s="40">
        <v>0.05</v>
      </c>
      <c r="C3" s="20" t="s">
        <v>394</v>
      </c>
      <c r="E3" s="13">
        <v>4.19E-2</v>
      </c>
      <c r="F3" s="20" t="s">
        <v>395</v>
      </c>
    </row>
    <row r="4" spans="1:6" x14ac:dyDescent="0.2">
      <c r="A4" t="s">
        <v>396</v>
      </c>
      <c r="B4" s="40">
        <v>0.1</v>
      </c>
      <c r="C4" s="20" t="s">
        <v>397</v>
      </c>
      <c r="E4" s="13">
        <v>0.112</v>
      </c>
      <c r="F4" s="20" t="s">
        <v>398</v>
      </c>
    </row>
    <row r="5" spans="1:6" x14ac:dyDescent="0.2">
      <c r="A5" t="s">
        <v>399</v>
      </c>
      <c r="B5" s="40">
        <v>0.35</v>
      </c>
      <c r="C5" s="20" t="s">
        <v>400</v>
      </c>
      <c r="E5" s="13">
        <v>0.112</v>
      </c>
      <c r="F5" s="20" t="s">
        <v>401</v>
      </c>
    </row>
    <row r="6" spans="1:6" x14ac:dyDescent="0.2">
      <c r="A6" t="s">
        <v>402</v>
      </c>
      <c r="B6" s="40">
        <v>1.5</v>
      </c>
      <c r="C6" s="20" t="s">
        <v>403</v>
      </c>
      <c r="E6" s="13">
        <v>0</v>
      </c>
      <c r="F6" s="20" t="s">
        <v>404</v>
      </c>
    </row>
    <row r="7" spans="1:6" x14ac:dyDescent="0.2">
      <c r="A7" t="s">
        <v>110</v>
      </c>
      <c r="B7" s="40">
        <v>2.4</v>
      </c>
      <c r="C7" s="20" t="s">
        <v>405</v>
      </c>
      <c r="E7" s="13">
        <v>0.128</v>
      </c>
      <c r="F7" s="20" t="s">
        <v>259</v>
      </c>
    </row>
    <row r="8" spans="1:6" x14ac:dyDescent="0.2">
      <c r="A8" t="s">
        <v>406</v>
      </c>
      <c r="B8" s="40">
        <v>1.8</v>
      </c>
      <c r="C8" s="20" t="s">
        <v>407</v>
      </c>
      <c r="E8" s="13">
        <v>8.8999999999999999E-3</v>
      </c>
      <c r="F8" s="20" t="s">
        <v>265</v>
      </c>
    </row>
    <row r="9" spans="1:6" x14ac:dyDescent="0.2">
      <c r="A9" t="s">
        <v>408</v>
      </c>
      <c r="B9" s="40">
        <v>2.4</v>
      </c>
      <c r="C9" s="20" t="s">
        <v>409</v>
      </c>
      <c r="E9" s="13">
        <v>0</v>
      </c>
      <c r="F9" s="20" t="s">
        <v>404</v>
      </c>
    </row>
    <row r="10" spans="1:6" x14ac:dyDescent="0.2">
      <c r="A10" t="s">
        <v>410</v>
      </c>
      <c r="B10" s="40">
        <v>1.8</v>
      </c>
      <c r="C10" s="20" t="s">
        <v>411</v>
      </c>
      <c r="E10" s="13">
        <v>2.3E-2</v>
      </c>
      <c r="F10" s="20" t="s">
        <v>412</v>
      </c>
    </row>
    <row r="11" spans="1:6" x14ac:dyDescent="0.2">
      <c r="A11" t="s">
        <v>413</v>
      </c>
      <c r="B11" s="40">
        <v>0.85</v>
      </c>
      <c r="C11" s="20" t="s">
        <v>414</v>
      </c>
      <c r="E11" s="13">
        <v>0.32379999999999998</v>
      </c>
      <c r="F11" s="20" t="s">
        <v>415</v>
      </c>
    </row>
    <row r="12" spans="1:6" x14ac:dyDescent="0.2">
      <c r="A12" t="s">
        <v>416</v>
      </c>
      <c r="B12" s="40">
        <v>0.5</v>
      </c>
      <c r="C12" s="20" t="s">
        <v>417</v>
      </c>
      <c r="E12" s="13">
        <v>0.14779999999999999</v>
      </c>
      <c r="F12" s="20" t="s">
        <v>418</v>
      </c>
    </row>
    <row r="13" spans="1:6" x14ac:dyDescent="0.2">
      <c r="A13" t="s">
        <v>419</v>
      </c>
      <c r="B13" s="40">
        <v>0.15</v>
      </c>
      <c r="C13" s="20" t="s">
        <v>420</v>
      </c>
      <c r="E13" s="13">
        <v>2.18E-2</v>
      </c>
      <c r="F13" s="20" t="s">
        <v>421</v>
      </c>
    </row>
    <row r="14" spans="1:6" x14ac:dyDescent="0.2">
      <c r="A14" t="s">
        <v>422</v>
      </c>
      <c r="B14" s="40">
        <v>0.1</v>
      </c>
      <c r="C14" s="20" t="s">
        <v>423</v>
      </c>
      <c r="E14" s="13">
        <v>8.0799999999999997E-2</v>
      </c>
      <c r="F14" s="20" t="s">
        <v>217</v>
      </c>
    </row>
    <row r="15" spans="1:6" x14ac:dyDescent="0.2">
      <c r="A15" s="3" t="s">
        <v>424</v>
      </c>
      <c r="B15" s="53">
        <f>AVERAGE(B3:B14)</f>
        <v>1</v>
      </c>
      <c r="E15" s="54">
        <f>SUM(E3:E14)</f>
        <v>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8"/>
  <sheetViews>
    <sheetView zoomScaleNormal="100" workbookViewId="0">
      <selection activeCell="E4" sqref="E4"/>
    </sheetView>
  </sheetViews>
  <sheetFormatPr baseColWidth="10" defaultColWidth="8.6640625" defaultRowHeight="15" x14ac:dyDescent="0.2"/>
  <cols>
    <col min="1" max="1" width="118" customWidth="1"/>
  </cols>
  <sheetData>
    <row r="1" spans="1:1" ht="46" customHeight="1" x14ac:dyDescent="0.2">
      <c r="A1" s="2"/>
    </row>
    <row r="2" spans="1:1" ht="19" x14ac:dyDescent="0.2">
      <c r="A2" s="2" t="s">
        <v>425</v>
      </c>
    </row>
    <row r="3" spans="1:1" x14ac:dyDescent="0.2">
      <c r="A3" s="3" t="s">
        <v>426</v>
      </c>
    </row>
    <row r="4" spans="1:1" x14ac:dyDescent="0.2">
      <c r="A4" s="55" t="s">
        <v>427</v>
      </c>
    </row>
    <row r="5" spans="1:1" ht="57.75" customHeight="1" x14ac:dyDescent="0.2">
      <c r="A5" s="56" t="s">
        <v>428</v>
      </c>
    </row>
    <row r="7" spans="1:1" x14ac:dyDescent="0.2">
      <c r="A7" s="55" t="s">
        <v>429</v>
      </c>
    </row>
    <row r="8" spans="1:1" ht="57.75" customHeight="1" x14ac:dyDescent="0.2">
      <c r="A8" s="56" t="s">
        <v>430</v>
      </c>
    </row>
    <row r="10" spans="1:1" x14ac:dyDescent="0.2">
      <c r="A10" s="55" t="s">
        <v>431</v>
      </c>
    </row>
    <row r="11" spans="1:1" ht="57.75" customHeight="1" x14ac:dyDescent="0.2">
      <c r="A11" s="56" t="s">
        <v>432</v>
      </c>
    </row>
    <row r="13" spans="1:1" x14ac:dyDescent="0.2">
      <c r="A13" s="55" t="s">
        <v>433</v>
      </c>
    </row>
    <row r="14" spans="1:1" ht="72" customHeight="1" x14ac:dyDescent="0.2">
      <c r="A14" s="56" t="s">
        <v>434</v>
      </c>
    </row>
    <row r="16" spans="1:1" x14ac:dyDescent="0.2">
      <c r="A16" s="55" t="s">
        <v>435</v>
      </c>
    </row>
    <row r="17" spans="1:1" ht="72" customHeight="1" x14ac:dyDescent="0.2">
      <c r="A17" s="56" t="s">
        <v>436</v>
      </c>
    </row>
    <row r="19" spans="1:1" x14ac:dyDescent="0.2">
      <c r="A19" s="55" t="s">
        <v>437</v>
      </c>
    </row>
    <row r="20" spans="1:1" ht="115.5" customHeight="1" x14ac:dyDescent="0.2">
      <c r="A20" s="56" t="s">
        <v>438</v>
      </c>
    </row>
    <row r="22" spans="1:1" x14ac:dyDescent="0.2">
      <c r="A22" s="55" t="s">
        <v>439</v>
      </c>
    </row>
    <row r="23" spans="1:1" ht="130.5" customHeight="1" x14ac:dyDescent="0.2">
      <c r="A23" s="56" t="s">
        <v>440</v>
      </c>
    </row>
    <row r="25" spans="1:1" x14ac:dyDescent="0.2">
      <c r="A25" s="55" t="s">
        <v>441</v>
      </c>
    </row>
    <row r="26" spans="1:1" ht="115.5" customHeight="1" x14ac:dyDescent="0.2">
      <c r="A26" s="56" t="s">
        <v>442</v>
      </c>
    </row>
    <row r="28" spans="1:1" x14ac:dyDescent="0.2">
      <c r="A28" s="55" t="s">
        <v>443</v>
      </c>
    </row>
    <row r="29" spans="1:1" ht="72" customHeight="1" x14ac:dyDescent="0.2">
      <c r="A29" s="56" t="s">
        <v>444</v>
      </c>
    </row>
    <row r="31" spans="1:1" x14ac:dyDescent="0.2">
      <c r="A31" s="55" t="s">
        <v>445</v>
      </c>
    </row>
    <row r="32" spans="1:1" ht="130.5" customHeight="1" x14ac:dyDescent="0.2">
      <c r="A32" s="56" t="s">
        <v>446</v>
      </c>
    </row>
    <row r="34" spans="1:1" x14ac:dyDescent="0.2">
      <c r="A34" s="55" t="s">
        <v>447</v>
      </c>
    </row>
    <row r="35" spans="1:1" ht="43.5" customHeight="1" x14ac:dyDescent="0.2">
      <c r="A35" s="56" t="s">
        <v>448</v>
      </c>
    </row>
    <row r="37" spans="1:1" x14ac:dyDescent="0.2">
      <c r="A37" s="55" t="s">
        <v>449</v>
      </c>
    </row>
    <row r="38" spans="1:1" ht="57.75" customHeight="1" x14ac:dyDescent="0.2">
      <c r="A38" s="56" t="s">
        <v>450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Proforma</vt:lpstr>
      <vt:lpstr>Monthly Cash Flow</vt:lpstr>
      <vt:lpstr>Events</vt:lpstr>
      <vt:lpstr>Orgs &amp; Boards</vt:lpstr>
      <vt:lpstr>Capital Summary</vt:lpstr>
      <vt:lpstr>Seasonality</vt:lpstr>
      <vt:lpstr>Story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Long, Chris</cp:lastModifiedBy>
  <cp:revision>0</cp:revision>
  <dcterms:created xsi:type="dcterms:W3CDTF">2026-06-17T21:22:05Z</dcterms:created>
  <dcterms:modified xsi:type="dcterms:W3CDTF">2026-06-18T13:04:08Z</dcterms:modified>
  <dc:language>en-US</dc:language>
</cp:coreProperties>
</file>